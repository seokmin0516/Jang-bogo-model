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eokm\Desktop\무역공모전\"/>
    </mc:Choice>
  </mc:AlternateContent>
  <xr:revisionPtr revIDLastSave="0" documentId="13_ncr:1_{CD40FD79-86B0-4C98-A98A-C5B2334EC251}" xr6:coauthVersionLast="47" xr6:coauthVersionMax="47" xr10:uidLastSave="{00000000-0000-0000-0000-000000000000}"/>
  <bookViews>
    <workbookView xWindow="0" yWindow="360" windowWidth="19420" windowHeight="10300" xr2:uid="{00000000-000D-0000-FFFF-FFFF00000000}"/>
  </bookViews>
  <sheets>
    <sheet name="국가별_분기별_통계_통합" sheetId="1" r:id="rId1"/>
    <sheet name="자료 출처 및 근거" sheetId="2" r:id="rId2"/>
    <sheet name="품목가중치근거"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1" l="1"/>
  <c r="H39" i="1"/>
  <c r="H43" i="1"/>
  <c r="H47" i="1"/>
  <c r="H51" i="1"/>
  <c r="H55" i="1"/>
  <c r="H59" i="1"/>
  <c r="H63" i="1"/>
  <c r="H67" i="1"/>
  <c r="H71" i="1"/>
  <c r="H31" i="1"/>
  <c r="G31" i="1"/>
  <c r="G35" i="1"/>
  <c r="G39" i="1"/>
  <c r="G43" i="1"/>
  <c r="G47" i="1"/>
  <c r="G51" i="1"/>
  <c r="G55" i="1"/>
  <c r="G59" i="1"/>
  <c r="G63" i="1"/>
  <c r="G67" i="1"/>
  <c r="G71" i="1"/>
  <c r="Q16" i="1"/>
  <c r="Q17" i="1"/>
  <c r="Q18" i="1"/>
  <c r="Q19" i="1"/>
  <c r="Q20" i="1"/>
  <c r="Q21" i="1"/>
  <c r="Q22" i="1"/>
  <c r="Q23" i="1"/>
  <c r="Q15" i="1"/>
  <c r="Q24" i="1" s="1"/>
  <c r="P15" i="1"/>
  <c r="P24" i="1" s="1"/>
  <c r="O15" i="1"/>
  <c r="O24" i="1" s="1"/>
  <c r="P16" i="1"/>
  <c r="P17" i="1"/>
  <c r="P18" i="1"/>
  <c r="P19" i="1"/>
  <c r="P20" i="1"/>
  <c r="P21" i="1"/>
  <c r="P22" i="1"/>
  <c r="P23" i="1"/>
  <c r="O16" i="1"/>
  <c r="O17" i="1"/>
  <c r="O18" i="1"/>
  <c r="O19" i="1"/>
  <c r="O20" i="1"/>
  <c r="O21" i="1"/>
  <c r="O22" i="1"/>
  <c r="O23" i="1"/>
  <c r="N15" i="1"/>
  <c r="N24" i="1" s="1"/>
  <c r="K35" i="1" s="1"/>
  <c r="N16" i="1"/>
  <c r="N17" i="1"/>
  <c r="N18" i="1"/>
  <c r="N19" i="1"/>
  <c r="N20" i="1"/>
  <c r="N21" i="1"/>
  <c r="N22" i="1"/>
  <c r="N23" i="1"/>
  <c r="J15" i="1"/>
  <c r="M16" i="1"/>
  <c r="M17" i="1"/>
  <c r="M18" i="1"/>
  <c r="M19" i="1"/>
  <c r="M20" i="1"/>
  <c r="M21" i="1"/>
  <c r="M22" i="1"/>
  <c r="M23" i="1"/>
  <c r="M15" i="1"/>
  <c r="L16" i="1"/>
  <c r="L17" i="1"/>
  <c r="L18" i="1"/>
  <c r="L19" i="1"/>
  <c r="L20" i="1"/>
  <c r="L21" i="1"/>
  <c r="L22" i="1"/>
  <c r="L23" i="1"/>
  <c r="L15" i="1"/>
  <c r="K15" i="1"/>
  <c r="K16" i="1"/>
  <c r="K17" i="1"/>
  <c r="K18" i="1"/>
  <c r="K19" i="1"/>
  <c r="K20" i="1"/>
  <c r="K21" i="1"/>
  <c r="K22" i="1"/>
  <c r="K23" i="1"/>
  <c r="J16" i="1"/>
  <c r="J17" i="1"/>
  <c r="J18" i="1"/>
  <c r="J19" i="1"/>
  <c r="J20" i="1"/>
  <c r="J21" i="1"/>
  <c r="J22" i="1"/>
  <c r="J23" i="1"/>
  <c r="G16" i="1"/>
  <c r="G18" i="1"/>
  <c r="G19" i="1"/>
  <c r="F16" i="1"/>
  <c r="F18" i="1"/>
  <c r="F19" i="1"/>
  <c r="D11" i="1"/>
  <c r="E11" i="1"/>
  <c r="F11" i="1"/>
  <c r="G11" i="1"/>
  <c r="H11" i="1"/>
  <c r="I11" i="1"/>
  <c r="J11" i="1"/>
  <c r="K24" i="1" s="1"/>
  <c r="K11" i="1"/>
  <c r="L11" i="1"/>
  <c r="M11" i="1"/>
  <c r="N11" i="1"/>
  <c r="O11" i="1"/>
  <c r="P11" i="1"/>
  <c r="Q11" i="1"/>
  <c r="R11" i="1"/>
  <c r="S11" i="1"/>
  <c r="T11" i="1"/>
  <c r="U11" i="1"/>
  <c r="V11" i="1"/>
  <c r="L24" i="1" s="1"/>
  <c r="W11" i="1"/>
  <c r="X11" i="1"/>
  <c r="Y11" i="1"/>
  <c r="Z11" i="1"/>
  <c r="AA11" i="1"/>
  <c r="AB11" i="1"/>
  <c r="AC11" i="1"/>
  <c r="AD11" i="1"/>
  <c r="M24" i="1" s="1"/>
  <c r="AE11" i="1"/>
  <c r="AF11" i="1"/>
  <c r="AG11" i="1"/>
  <c r="C11" i="1"/>
  <c r="G15" i="1" s="1"/>
  <c r="B11" i="1"/>
  <c r="F15" i="1" s="1"/>
  <c r="B20" i="1"/>
  <c r="B14" i="1"/>
  <c r="B15" i="1"/>
  <c r="B16" i="1"/>
  <c r="B17" i="1"/>
  <c r="B18" i="1"/>
  <c r="B19" i="1"/>
  <c r="B13" i="1"/>
  <c r="K32" i="1" l="1"/>
  <c r="K28" i="1"/>
  <c r="K34" i="1"/>
  <c r="K31" i="1"/>
  <c r="K33" i="1"/>
  <c r="K30" i="1"/>
  <c r="K29" i="1"/>
  <c r="F14" i="1"/>
  <c r="G14" i="1"/>
  <c r="F13" i="1"/>
  <c r="G13" i="1"/>
  <c r="F20" i="1"/>
  <c r="G20" i="1"/>
  <c r="K27" i="1"/>
  <c r="J24" i="1"/>
  <c r="J28" i="1" s="1"/>
  <c r="F17" i="1"/>
  <c r="G17" i="1"/>
  <c r="L28" i="1" l="1"/>
  <c r="M28" i="1"/>
  <c r="J35" i="1"/>
  <c r="J29" i="1"/>
  <c r="J33" i="1"/>
  <c r="J30" i="1"/>
  <c r="J31" i="1"/>
  <c r="J34" i="1"/>
  <c r="J32" i="1"/>
  <c r="J27" i="1"/>
  <c r="M34" i="1" l="1"/>
  <c r="L34" i="1"/>
  <c r="M31" i="1"/>
  <c r="L31" i="1"/>
  <c r="M30" i="1"/>
  <c r="L30" i="1"/>
  <c r="M33" i="1"/>
  <c r="L33" i="1"/>
  <c r="M29" i="1"/>
  <c r="L29" i="1"/>
  <c r="M35" i="1"/>
  <c r="L35" i="1"/>
  <c r="M27" i="1"/>
  <c r="L27" i="1"/>
  <c r="M32" i="1"/>
  <c r="L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남석민</author>
  </authors>
  <commentList>
    <comment ref="D12" authorId="0" shapeId="0" xr:uid="{F269AA11-FA75-4DFE-AC05-7F00F4C5640C}">
      <text>
        <r>
          <rPr>
            <b/>
            <sz val="9"/>
            <color indexed="81"/>
            <rFont val="돋움"/>
            <family val="3"/>
            <charset val="129"/>
          </rPr>
          <t>최종
중량제한기준은</t>
        </r>
        <r>
          <rPr>
            <b/>
            <sz val="9"/>
            <color indexed="81"/>
            <rFont val="Tahoma"/>
            <family val="2"/>
          </rPr>
          <t xml:space="preserve"> 40*3
</t>
        </r>
      </text>
    </comment>
    <comment ref="F12" authorId="0" shapeId="0" xr:uid="{4F5BF3EA-3705-4455-A832-F593F8326871}">
      <text>
        <r>
          <rPr>
            <sz val="9"/>
            <color indexed="81"/>
            <rFont val="Tahoma"/>
            <family val="2"/>
          </rPr>
          <t>=</t>
        </r>
        <r>
          <rPr>
            <sz val="9"/>
            <color indexed="81"/>
            <rFont val="돋움"/>
            <family val="3"/>
            <charset val="129"/>
          </rPr>
          <t>해당국가</t>
        </r>
        <r>
          <rPr>
            <sz val="9"/>
            <color indexed="81"/>
            <rFont val="Tahoma"/>
            <family val="2"/>
          </rPr>
          <t xml:space="preserve"> </t>
        </r>
        <r>
          <rPr>
            <sz val="9"/>
            <color indexed="81"/>
            <rFont val="돋움"/>
            <family val="3"/>
            <charset val="129"/>
          </rPr>
          <t>적발건수</t>
        </r>
        <r>
          <rPr>
            <sz val="9"/>
            <color indexed="81"/>
            <rFont val="Tahoma"/>
            <family val="2"/>
          </rPr>
          <t>/</t>
        </r>
        <r>
          <rPr>
            <sz val="9"/>
            <color indexed="81"/>
            <rFont val="돋움"/>
            <family val="3"/>
            <charset val="129"/>
          </rPr>
          <t>전체</t>
        </r>
        <r>
          <rPr>
            <sz val="9"/>
            <color indexed="81"/>
            <rFont val="Tahoma"/>
            <family val="2"/>
          </rPr>
          <t xml:space="preserve"> </t>
        </r>
        <r>
          <rPr>
            <sz val="9"/>
            <color indexed="81"/>
            <rFont val="돋움"/>
            <family val="3"/>
            <charset val="129"/>
          </rPr>
          <t>마약적발</t>
        </r>
        <r>
          <rPr>
            <sz val="9"/>
            <color indexed="81"/>
            <rFont val="Tahoma"/>
            <family val="2"/>
          </rPr>
          <t xml:space="preserve"> </t>
        </r>
        <r>
          <rPr>
            <sz val="9"/>
            <color indexed="81"/>
            <rFont val="돋움"/>
            <family val="3"/>
            <charset val="129"/>
          </rPr>
          <t>건수</t>
        </r>
        <r>
          <rPr>
            <sz val="9"/>
            <color indexed="81"/>
            <rFont val="Tahoma"/>
            <family val="2"/>
          </rPr>
          <t xml:space="preserve">*100
</t>
        </r>
      </text>
    </comment>
    <comment ref="G12" authorId="0" shapeId="0" xr:uid="{41236D0C-ABA2-44C4-A86B-3919A44AF914}">
      <text>
        <r>
          <rPr>
            <sz val="9"/>
            <color indexed="81"/>
            <rFont val="돋움"/>
            <family val="3"/>
            <charset val="129"/>
          </rPr>
          <t>해당국가</t>
        </r>
        <r>
          <rPr>
            <sz val="9"/>
            <color indexed="81"/>
            <rFont val="Tahoma"/>
            <family val="2"/>
          </rPr>
          <t xml:space="preserve"> </t>
        </r>
        <r>
          <rPr>
            <sz val="9"/>
            <color indexed="81"/>
            <rFont val="돋움"/>
            <family val="3"/>
            <charset val="129"/>
          </rPr>
          <t>적발중량</t>
        </r>
        <r>
          <rPr>
            <sz val="9"/>
            <color indexed="81"/>
            <rFont val="Tahoma"/>
            <family val="2"/>
          </rPr>
          <t>/</t>
        </r>
        <r>
          <rPr>
            <sz val="9"/>
            <color indexed="81"/>
            <rFont val="돋움"/>
            <family val="3"/>
            <charset val="129"/>
          </rPr>
          <t>전체마약적발중량</t>
        </r>
        <r>
          <rPr>
            <sz val="9"/>
            <color indexed="81"/>
            <rFont val="Tahoma"/>
            <family val="2"/>
          </rPr>
          <t xml:space="preserve">*100
</t>
        </r>
      </text>
    </comment>
    <comment ref="I26" authorId="0" shapeId="0" xr:uid="{FFEF61EF-CECB-49DE-8E96-BA89093E2CE0}">
      <text>
        <r>
          <rPr>
            <sz val="9"/>
            <color indexed="81"/>
            <rFont val="Tahoma"/>
            <family val="2"/>
          </rPr>
          <t>=</t>
        </r>
        <r>
          <rPr>
            <sz val="9"/>
            <color indexed="81"/>
            <rFont val="돋움"/>
            <family val="3"/>
            <charset val="129"/>
          </rPr>
          <t>년도별</t>
        </r>
        <r>
          <rPr>
            <sz val="9"/>
            <color indexed="81"/>
            <rFont val="Tahoma"/>
            <family val="2"/>
          </rPr>
          <t xml:space="preserve"> </t>
        </r>
        <r>
          <rPr>
            <sz val="9"/>
            <color indexed="81"/>
            <rFont val="돋움"/>
            <family val="3"/>
            <charset val="129"/>
          </rPr>
          <t>빈도수</t>
        </r>
        <r>
          <rPr>
            <sz val="9"/>
            <color indexed="81"/>
            <rFont val="Tahoma"/>
            <family val="2"/>
          </rPr>
          <t>*0.4*</t>
        </r>
        <r>
          <rPr>
            <sz val="9"/>
            <color indexed="81"/>
            <rFont val="돋움"/>
            <family val="3"/>
            <charset val="129"/>
          </rPr>
          <t>년도별최신성가중치</t>
        </r>
        <r>
          <rPr>
            <sz val="9"/>
            <color indexed="81"/>
            <rFont val="Tahoma"/>
            <family val="2"/>
          </rPr>
          <t>+</t>
        </r>
        <r>
          <rPr>
            <sz val="9"/>
            <color indexed="81"/>
            <rFont val="돋움"/>
            <family val="3"/>
            <charset val="129"/>
          </rPr>
          <t>년도별심도수</t>
        </r>
        <r>
          <rPr>
            <sz val="9"/>
            <color indexed="81"/>
            <rFont val="Tahoma"/>
            <family val="2"/>
          </rPr>
          <t>*0.6*</t>
        </r>
        <r>
          <rPr>
            <sz val="9"/>
            <color indexed="81"/>
            <rFont val="돋움"/>
            <family val="3"/>
            <charset val="129"/>
          </rPr>
          <t xml:space="preserve">최신성가중치
</t>
        </r>
        <r>
          <rPr>
            <sz val="9"/>
            <color indexed="81"/>
            <rFont val="Tahoma"/>
            <family val="2"/>
          </rPr>
          <t xml:space="preserve">
</t>
        </r>
      </text>
    </comment>
    <comment ref="F29" authorId="0" shapeId="0" xr:uid="{7ACED4FE-1611-4478-B0C7-63A9310D8B86}">
      <text>
        <r>
          <rPr>
            <sz val="9"/>
            <color indexed="81"/>
            <rFont val="Tahoma"/>
            <family val="2"/>
          </rPr>
          <t>=(</t>
        </r>
        <r>
          <rPr>
            <sz val="9"/>
            <color indexed="81"/>
            <rFont val="돋움"/>
            <family val="3"/>
            <charset val="129"/>
          </rPr>
          <t>연도별가중치</t>
        </r>
        <r>
          <rPr>
            <sz val="9"/>
            <color indexed="81"/>
            <rFont val="Tahoma"/>
            <family val="2"/>
          </rPr>
          <t>*</t>
        </r>
        <r>
          <rPr>
            <sz val="9"/>
            <color indexed="81"/>
            <rFont val="돋움"/>
            <family val="3"/>
            <charset val="129"/>
          </rPr>
          <t>위험품목가중치</t>
        </r>
        <r>
          <rPr>
            <sz val="9"/>
            <color indexed="81"/>
            <rFont val="Tahoma"/>
            <family val="2"/>
          </rPr>
          <t>)/log10(</t>
        </r>
        <r>
          <rPr>
            <sz val="9"/>
            <color indexed="81"/>
            <rFont val="돋움"/>
            <family val="3"/>
            <charset val="129"/>
          </rPr>
          <t>수입중량</t>
        </r>
        <r>
          <rPr>
            <sz val="9"/>
            <color indexed="81"/>
            <rFont val="Tahoma"/>
            <family val="2"/>
          </rPr>
          <t xml:space="preserve">)
</t>
        </r>
      </text>
    </comment>
    <comment ref="H29" authorId="0" shapeId="0" xr:uid="{03C74596-6AD9-463F-81B7-8DCD5AF5D79C}">
      <text>
        <r>
          <rPr>
            <sz val="9"/>
            <color indexed="81"/>
            <rFont val="돋움"/>
            <family val="3"/>
            <charset val="129"/>
          </rPr>
          <t>최하점은</t>
        </r>
        <r>
          <rPr>
            <sz val="9"/>
            <color indexed="81"/>
            <rFont val="Tahoma"/>
            <family val="2"/>
          </rPr>
          <t xml:space="preserve"> 10</t>
        </r>
        <r>
          <rPr>
            <sz val="9"/>
            <color indexed="81"/>
            <rFont val="돋움"/>
            <family val="3"/>
            <charset val="129"/>
          </rPr>
          <t>점으로</t>
        </r>
        <r>
          <rPr>
            <sz val="9"/>
            <color indexed="81"/>
            <rFont val="Tahoma"/>
            <family val="2"/>
          </rPr>
          <t xml:space="preserve"> </t>
        </r>
        <r>
          <rPr>
            <sz val="9"/>
            <color indexed="81"/>
            <rFont val="돋움"/>
            <family val="3"/>
            <charset val="129"/>
          </rPr>
          <t xml:space="preserve">고정
</t>
        </r>
        <r>
          <rPr>
            <sz val="9"/>
            <color indexed="81"/>
            <rFont val="Tahoma"/>
            <family val="2"/>
          </rPr>
          <t xml:space="preserve">
</t>
        </r>
      </text>
    </comment>
  </commentList>
</comments>
</file>

<file path=xl/sharedStrings.xml><?xml version="1.0" encoding="utf-8"?>
<sst xmlns="http://schemas.openxmlformats.org/spreadsheetml/2006/main" count="212" uniqueCount="163">
  <si>
    <t>국가(지역)</t>
  </si>
  <si>
    <t>2022년 1Q 건수</t>
  </si>
  <si>
    <t>2022년 1Q 중량(kg)</t>
  </si>
  <si>
    <t>2022년 2Q 건수</t>
  </si>
  <si>
    <t>2022년 2Q 중량(kg)</t>
  </si>
  <si>
    <t>2022년 3Q 건수</t>
  </si>
  <si>
    <t>2022년 3Q 중량(kg)</t>
  </si>
  <si>
    <t>2022년 4Q 건수</t>
  </si>
  <si>
    <t>2022년 4Q 중량(kg)</t>
  </si>
  <si>
    <t>2023년 1Q 건수</t>
  </si>
  <si>
    <t>2023년 1Q 중량(kg)</t>
  </si>
  <si>
    <t>2023년 2Q 건수</t>
  </si>
  <si>
    <t>2023년 2Q 중량(kg)</t>
  </si>
  <si>
    <t>2023년 3Q 건수</t>
  </si>
  <si>
    <t>2023년 3Q 중량(kg)</t>
  </si>
  <si>
    <t>2023년 4Q 건수</t>
  </si>
  <si>
    <t>2023년 4Q 중량(kg)</t>
  </si>
  <si>
    <t>2024년 1Q 건수</t>
  </si>
  <si>
    <t>2024년 1Q 중량(kg)</t>
  </si>
  <si>
    <t>2024년 2Q 건수</t>
  </si>
  <si>
    <t>2024년 2Q 중량(kg)</t>
  </si>
  <si>
    <t>2024년 3Q 건수</t>
  </si>
  <si>
    <t>2024년 3Q 중량(kg)</t>
  </si>
  <si>
    <t>2024년 4Q 건수</t>
  </si>
  <si>
    <t>2024년 4Q 중량(kg)</t>
  </si>
  <si>
    <t>2025년 1Q 건수</t>
  </si>
  <si>
    <t>2025년 1Q 중량(kg)</t>
  </si>
  <si>
    <t>2025년 2Q 건수</t>
  </si>
  <si>
    <t>2025년 2Q 중량(kg)</t>
  </si>
  <si>
    <t>2025년 3Q 건수</t>
  </si>
  <si>
    <t>2025년 3Q 중량(kg)</t>
  </si>
  <si>
    <t>2025년 4Q 건수</t>
  </si>
  <si>
    <t>2025년 4Q 중량(kg)</t>
  </si>
  <si>
    <t>태국</t>
  </si>
  <si>
    <t>미국</t>
  </si>
  <si>
    <t>베트남</t>
  </si>
  <si>
    <t>말레이시아</t>
  </si>
  <si>
    <t>중국(홍콩 포함)</t>
  </si>
  <si>
    <t>라오스</t>
  </si>
  <si>
    <t>독일</t>
  </si>
  <si>
    <t>중남미(브라질 등)</t>
  </si>
  <si>
    <t>기타</t>
  </si>
  <si>
    <t>구분</t>
  </si>
  <si>
    <t>상세 내용</t>
  </si>
  <si>
    <t>공식 자료원</t>
  </si>
  <si>
    <t>관세청(Korea Customs Service) 마약 단속 실적 보도자료</t>
  </si>
  <si>
    <t>통계 기준</t>
  </si>
  <si>
    <t>2022년~2025년 각 분기별 결산 및 연간 통계 요약자료 반영</t>
  </si>
  <si>
    <t>데이터 특징</t>
  </si>
  <si>
    <t>연간 국가별 비중을 분기별 단속 동향(1Q/상반기/3Q/연말)에 맞춰 안분 재구성함</t>
  </si>
  <si>
    <t>중요 참고</t>
  </si>
  <si>
    <t>2025년 2Q~3Q 중남미 중량은 강릉항(4월) 및 부산항(5, 8월) 코카인 대량 적발 건이 반영됨</t>
  </si>
  <si>
    <t>공식 링크 1</t>
  </si>
  <si>
    <t>https://www.customs.go.kr (관세청 보도자료실)</t>
  </si>
  <si>
    <t>공식 링크 2</t>
  </si>
  <si>
    <t>https://www.index.go.kr (e-나라지표 마약류 밀수 실적)</t>
  </si>
  <si>
    <t xml:space="preserve"> </t>
    <phoneticPr fontId="2" type="noConversion"/>
  </si>
  <si>
    <t>태국</t>
    <phoneticPr fontId="2" type="noConversion"/>
  </si>
  <si>
    <t>미국</t>
    <phoneticPr fontId="2" type="noConversion"/>
  </si>
  <si>
    <t>베트남</t>
    <phoneticPr fontId="2" type="noConversion"/>
  </si>
  <si>
    <t>말레이시아</t>
    <phoneticPr fontId="2" type="noConversion"/>
  </si>
  <si>
    <t>중국(홍콩포함)</t>
    <phoneticPr fontId="2" type="noConversion"/>
  </si>
  <si>
    <t>라오스</t>
    <phoneticPr fontId="2" type="noConversion"/>
  </si>
  <si>
    <t>독일</t>
    <phoneticPr fontId="2" type="noConversion"/>
  </si>
  <si>
    <t>중남미(브라질)</t>
    <phoneticPr fontId="2" type="noConversion"/>
  </si>
  <si>
    <t>비고</t>
    <phoneticPr fontId="2" type="noConversion"/>
  </si>
  <si>
    <t>2025 2,3 제외</t>
    <phoneticPr fontId="2" type="noConversion"/>
  </si>
  <si>
    <t>중량제한값</t>
    <phoneticPr fontId="2" type="noConversion"/>
  </si>
  <si>
    <t>빈도수</t>
    <phoneticPr fontId="2" type="noConversion"/>
  </si>
  <si>
    <t>심도수</t>
    <phoneticPr fontId="2" type="noConversion"/>
  </si>
  <si>
    <t>합계</t>
    <phoneticPr fontId="2" type="noConversion"/>
  </si>
  <si>
    <t>중량제한평균</t>
    <phoneticPr fontId="2" type="noConversion"/>
  </si>
  <si>
    <t xml:space="preserve">연도별 </t>
    <phoneticPr fontId="2" type="noConversion"/>
  </si>
  <si>
    <t>가중치</t>
    <phoneticPr fontId="2" type="noConversion"/>
  </si>
  <si>
    <t>2022년</t>
  </si>
  <si>
    <t>2023년</t>
  </si>
  <si>
    <t>2024년</t>
  </si>
  <si>
    <t>2025년</t>
  </si>
  <si>
    <t>합계</t>
  </si>
  <si>
    <t>연도별 건수 (건)</t>
  </si>
  <si>
    <t>연도별 중량 (kg)</t>
  </si>
  <si>
    <t>2024 2023</t>
    <phoneticPr fontId="2" type="noConversion"/>
  </si>
  <si>
    <t>국가위험도</t>
    <phoneticPr fontId="2" type="noConversion"/>
  </si>
  <si>
    <t>중국(홍콩 포함)</t>
    <phoneticPr fontId="2" type="noConversion"/>
  </si>
  <si>
    <t>중남미(브라질 등)</t>
    <phoneticPr fontId="2" type="noConversion"/>
  </si>
  <si>
    <t>기타</t>
    <phoneticPr fontId="2" type="noConversion"/>
  </si>
  <si>
    <t>최종국가위험도</t>
    <phoneticPr fontId="2" type="noConversion"/>
  </si>
  <si>
    <t>위험물품목록</t>
    <phoneticPr fontId="2" type="noConversion"/>
  </si>
  <si>
    <t>기간</t>
  </si>
  <si>
    <t>HS코드</t>
  </si>
  <si>
    <t>품목명</t>
  </si>
  <si>
    <t>수입 중량(톤)</t>
    <phoneticPr fontId="2" type="noConversion"/>
  </si>
  <si>
    <t>수입 금액(천 달러)</t>
    <phoneticPr fontId="2" type="noConversion"/>
  </si>
  <si>
    <t>총계</t>
  </si>
  <si>
    <t/>
  </si>
  <si>
    <t>커피(볶았는지, 카페인을 제거했는지에 상관없다), 커피의 껍데기와 껍질, 커피를 함유한 커피 대용물(커피의 포함비율은 상관없다)</t>
  </si>
  <si>
    <t>설탕과자(백색 초콜릿을 포함하며, 코코아를 함유한 것은 제외한다)</t>
    <phoneticPr fontId="2" type="noConversion"/>
  </si>
  <si>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</si>
  <si>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그 밖의 방법으로 조제하거나 보존처리한 과실ㆍ견과류와 그 밖의 식용에 적합한 식물의 부분(설탕이나 그 밖의 감미료나 주정을 첨가했는지에 상관없으며 따로 분류되지 않은 것으로 한정한다)</t>
  </si>
  <si>
    <t>미용이나 메이크업용 제품류와 기초화장용 제품류[의약품은 제외하며, 선스크린(sunscreen)과 선탠(sun tan) 제품류를 포함한다], 매니큐어용 제품류와 페디큐어(pedicure)용 제품류</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</si>
  <si>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</si>
  <si>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제재목[길이의 방향으로 쪼갠 것, 평삭(平削)한 것, 회전식으로 절단한 것으로서 두께가 6밀리미터를 초과하는 것으로 한정하며, 대패질ㆍ연마ㆍ엔드-조인트한(end-jointed) 것인지에 상관없다]</t>
  </si>
  <si>
    <t>신발류[바깥 바닥을 고무ㆍ플라스틱ㆍ가죽ㆍ콤퍼지션 레더(composition leather)로 만들고, 갑피(甲皮)를 가죽으로 만든 것으로 한정한다]</t>
  </si>
  <si>
    <t>자동자료처리기계와 그 단위기기, 자기식이나 광학식 판독기, 자료를 자료매체에 부호 형태로 전사하는 기계와 이러한 자료의 처리기계(따로 분류되지 않은 것으로 한정한다)</t>
  </si>
  <si>
    <t>이 류에 따로 분류되지 않은 기계류(고유의 기능을 가진 것으로 한정한다)</t>
  </si>
  <si>
    <t>전기기계식의 가정용 기기(전동기를 갖춘 것으로 한정하며, 제8508호의 진공청소기는 제외한다)</t>
  </si>
  <si>
    <t>품목 가중치</t>
  </si>
  <si>
    <t>은닉 특성 및 위험 근거</t>
  </si>
  <si>
    <t>참고 자료 및 근거 링크</t>
  </si>
  <si>
    <t>0901</t>
  </si>
  <si>
    <t>커피</t>
  </si>
  <si>
    <t>강한 향으로 마약 탐지견의 후각을 교란하기 위해 가장 흔히 사용됨.</t>
  </si>
  <si>
    <t>관세청 보도자료 (https://www.customs.go.kr)</t>
  </si>
  <si>
    <t>1704</t>
  </si>
  <si>
    <t>사탕, 초콜릿</t>
  </si>
  <si>
    <t>젤리나 사탕 모양으로 제조된 변종 마약(THC 등) 자체로 위장 가능.</t>
  </si>
  <si>
    <t>대검찰청 마약류 범죄백서 (https://www.spo.go.kr)</t>
  </si>
  <si>
    <t>3304</t>
  </si>
  <si>
    <t>화장품</t>
  </si>
  <si>
    <t>크림이나 액체 속에 녹이거나, 이중 바닥 용기를 제작하여 은닉 용이.</t>
  </si>
  <si>
    <t>1904</t>
  </si>
  <si>
    <t>시리얼, 곡물</t>
  </si>
  <si>
    <t>내용물 속에 소량의 봉지 형태로 섞었을 때 육안 식별 및 X-ray 판독이 어려움.</t>
  </si>
  <si>
    <t>UNODC World Drug Report (https://www.unodc.org)</t>
  </si>
  <si>
    <t>4202</t>
  </si>
  <si>
    <t>가방, 케이스</t>
  </si>
  <si>
    <t>가방의 안감(벽면) 사이에 얇게 펴서 넣는 라미네이트 수법 다수 발생.</t>
  </si>
  <si>
    <t>관세청 마약 적발 사례집</t>
  </si>
  <si>
    <t>2008</t>
  </si>
  <si>
    <t>견과류, 과일 가공품</t>
  </si>
  <si>
    <t>캔 또는 병 내부의 액체나 내용물 속에 은닉. 실제 물품과 무게감이 비슷함.</t>
  </si>
  <si>
    <t>4407</t>
  </si>
  <si>
    <t>목재</t>
  </si>
  <si>
    <t>목재 내부를 파내어 대량의 마약을 넣고 다시 붙이는 대형 밀수 수법.</t>
  </si>
  <si>
    <t>6403</t>
  </si>
  <si>
    <t>가죽 신발</t>
  </si>
  <si>
    <t>신발 밑창(굽)을 파내거나 공간을 만들어 은닉하는 고전적 방식.</t>
  </si>
  <si>
    <t>관세청 적발 사례 뉴스 (https://www.customs.go.kr)</t>
  </si>
  <si>
    <t>8471</t>
  </si>
  <si>
    <t>컴퓨터, 자재</t>
  </si>
  <si>
    <t>본체 내부 빈 공간이 많고 복잡한 부품으로 위장 가능. X-ray 판독이 복잡함.</t>
  </si>
  <si>
    <t>관세청 보도자료</t>
  </si>
  <si>
    <t>8509</t>
  </si>
  <si>
    <t>가전제품</t>
  </si>
  <si>
    <t>모터 내부나 배터리 공간을 활용. 선물용 위장 특송화물에 빈번함.</t>
  </si>
  <si>
    <t>관세청 특송화물 단속 동향</t>
  </si>
  <si>
    <t>8479</t>
  </si>
  <si>
    <t>특수 기계류</t>
  </si>
  <si>
    <t>기계 내부에 용접 밀봉 시 절단 전까지 확인 불가. 대형 밀수 통로.</t>
  </si>
  <si>
    <t>UNODC Global SMART Program</t>
  </si>
  <si>
    <t>HS코드</t>
    <phoneticPr fontId="2" type="noConversion"/>
  </si>
  <si>
    <t>품목명</t>
    <phoneticPr fontId="2" type="noConversion"/>
  </si>
  <si>
    <t>품목 가중치</t>
    <phoneticPr fontId="2" type="noConversion"/>
  </si>
  <si>
    <t>위험품목가중치</t>
    <phoneticPr fontId="2" type="noConversion"/>
  </si>
  <si>
    <t>위험밀도</t>
    <phoneticPr fontId="2" type="noConversion"/>
  </si>
  <si>
    <t>901</t>
    <phoneticPr fontId="2" type="noConversion"/>
  </si>
  <si>
    <t>2025</t>
    <phoneticPr fontId="2" type="noConversion"/>
  </si>
  <si>
    <t>2022</t>
    <phoneticPr fontId="2" type="noConversion"/>
  </si>
  <si>
    <t>특수 기계류</t>
    <phoneticPr fontId="2" type="noConversion"/>
  </si>
  <si>
    <t>점유율순</t>
    <phoneticPr fontId="2" type="noConversion"/>
  </si>
  <si>
    <t>최종물품위험도</t>
    <phoneticPr fontId="2" type="noConversion"/>
  </si>
  <si>
    <t>100점환산</t>
    <phoneticPr fontId="2" type="noConversion"/>
  </si>
  <si>
    <t>LCL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</si>
</sst>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22"/>
      <color rgb="FFC00000"/>
      <name val="맑은 고딕"/>
      <family val="3"/>
      <charset val="129"/>
      <scheme val="minor"/>
    </font>
    <font>
      <b/>
      <sz val="11"/>
      <color rgb="FFFF0000"/>
      <name val="맑은 고딕"/>
      <family val="3"/>
      <charset val="129"/>
      <scheme val="minor"/>
    </font>
    <font>
      <b/>
      <sz val="11"/>
      <color theme="1"/>
      <name val="맑은 고딕"/>
      <family val="2"/>
      <scheme val="minor"/>
    </font>
    <font>
      <b/>
      <sz val="11"/>
      <color theme="1"/>
      <name val="맑은 고딕"/>
      <family val="3"/>
      <charset val="129"/>
      <scheme val="minor"/>
    </font>
    <font>
      <sz val="11"/>
      <color rgb="FFFF0000"/>
      <name val="맑은 고딕"/>
      <family val="3"/>
      <charset val="129"/>
      <scheme val="minor"/>
    </font>
  </fonts>
  <fills count="6">
    <fill>
      <patternFill patternType="none"/>
    </fill>
    <fill>
      <patternFill patternType="gray125"/>
    </fill>
    <fill>
      <patternFill patternType="solid">
        <fgColor rgb="FFD9EAD3"/>
        <bgColor rgb="FFD9EAD3"/>
      </patternFill>
    </fill>
    <fill>
      <patternFill patternType="solid">
        <fgColor rgb="FFE2EFDA"/>
        <bgColor rgb="FFE2EFDA"/>
      </patternFill>
    </fill>
    <fill>
      <patternFill patternType="solid">
        <fgColor rgb="FFF2F2F2"/>
        <bgColor rgb="FFF2F2F2"/>
      </patternFill>
    </fill>
    <fill>
      <patternFill patternType="solid">
        <fgColor indexed="22"/>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auto="1"/>
      </right>
      <top/>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right"/>
    </xf>
    <xf numFmtId="0" fontId="0" fillId="0" borderId="0" xfId="0" applyAlignment="1">
      <alignment horizontal="right"/>
    </xf>
    <xf numFmtId="0" fontId="0" fillId="0" borderId="1" xfId="0" applyBorder="1"/>
    <xf numFmtId="0" fontId="0" fillId="0" borderId="2" xfId="0" applyBorder="1" applyAlignment="1">
      <alignment horizontal="right"/>
    </xf>
    <xf numFmtId="0" fontId="0" fillId="0" borderId="2" xfId="0" applyBorder="1"/>
    <xf numFmtId="0" fontId="0" fillId="0" borderId="3" xfId="0" applyBorder="1"/>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1" fillId="4" borderId="1" xfId="0" applyFont="1" applyFill="1" applyBorder="1" applyAlignment="1">
      <alignment horizontal="center" vertical="center"/>
    </xf>
    <xf numFmtId="0" fontId="3"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xf numFmtId="0" fontId="0" fillId="5" borderId="4" xfId="0" applyFill="1" applyBorder="1" applyAlignment="1">
      <alignment horizontal="center" vertical="center"/>
    </xf>
    <xf numFmtId="0" fontId="0" fillId="0" borderId="4" xfId="0" applyBorder="1"/>
    <xf numFmtId="4" fontId="0" fillId="0" borderId="4" xfId="0" applyNumberFormat="1" applyBorder="1"/>
    <xf numFmtId="3" fontId="0" fillId="0" borderId="4" xfId="0" applyNumberFormat="1" applyBorder="1"/>
    <xf numFmtId="0" fontId="10" fillId="0" borderId="4" xfId="0" applyFont="1" applyBorder="1" applyAlignment="1">
      <alignment horizontal="center" vertical="top"/>
    </xf>
    <xf numFmtId="0" fontId="3" fillId="0" borderId="4" xfId="0" applyFont="1" applyBorder="1" applyAlignment="1">
      <alignment horizontal="center" vertical="top"/>
    </xf>
    <xf numFmtId="0" fontId="3" fillId="0" borderId="5" xfId="0" applyFont="1" applyBorder="1" applyAlignment="1">
      <alignment horizontal="center" vertical="center"/>
    </xf>
    <xf numFmtId="0" fontId="3" fillId="0" borderId="5" xfId="0" applyFont="1" applyBorder="1" applyAlignment="1">
      <alignment horizontal="center" vertical="top"/>
    </xf>
    <xf numFmtId="0" fontId="0" fillId="0" borderId="5" xfId="0" quotePrefix="1" applyBorder="1"/>
    <xf numFmtId="0" fontId="0" fillId="0" borderId="5" xfId="0" applyBorder="1"/>
    <xf numFmtId="0" fontId="0" fillId="0" borderId="4" xfId="0" quotePrefix="1" applyBorder="1"/>
    <xf numFmtId="0" fontId="3" fillId="0" borderId="8" xfId="0" applyFont="1" applyBorder="1" applyAlignment="1">
      <alignment horizontal="center" vertical="top"/>
    </xf>
    <xf numFmtId="0" fontId="0" fillId="0" borderId="4" xfId="0" applyBorder="1" applyAlignment="1">
      <alignment horizontal="center" vertical="center"/>
    </xf>
    <xf numFmtId="0" fontId="11" fillId="0" borderId="6" xfId="0" applyFont="1" applyBorder="1" applyAlignment="1">
      <alignment horizontal="center" vertical="center"/>
    </xf>
    <xf numFmtId="0" fontId="11" fillId="0" borderId="5" xfId="0" applyFont="1" applyBorder="1" applyAlignment="1">
      <alignment horizontal="center" vertical="center"/>
    </xf>
    <xf numFmtId="0" fontId="0" fillId="0" borderId="4" xfId="0" applyBorder="1" applyAlignment="1">
      <alignment horizontal="center" wrapText="1"/>
    </xf>
    <xf numFmtId="0" fontId="1" fillId="3" borderId="1" xfId="0" applyFont="1" applyFill="1" applyBorder="1" applyAlignment="1">
      <alignment horizontal="center" vertical="center"/>
    </xf>
    <xf numFmtId="0" fontId="8" fillId="0" borderId="0" xfId="0" applyFont="1" applyAlignment="1">
      <alignment horizontal="center"/>
    </xf>
    <xf numFmtId="0" fontId="0" fillId="0" borderId="0" xfId="0" applyAlignment="1">
      <alignment horizontal="center"/>
    </xf>
    <xf numFmtId="0" fontId="12" fillId="0" borderId="4" xfId="0" applyFont="1"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4"/>
  <sheetViews>
    <sheetView tabSelected="1" zoomScale="70" zoomScaleNormal="70" workbookViewId="0">
      <selection activeCell="AA24" sqref="AA24"/>
    </sheetView>
  </sheetViews>
  <sheetFormatPr defaultRowHeight="17" x14ac:dyDescent="0.45"/>
  <cols>
    <col min="1" max="1" width="20" customWidth="1"/>
    <col min="2" max="3" width="13" customWidth="1"/>
    <col min="4" max="4" width="13.75" customWidth="1"/>
    <col min="5" max="5" width="15.58203125" customWidth="1"/>
    <col min="6" max="8" width="13" customWidth="1"/>
    <col min="9" max="9" width="16.4140625" bestFit="1" customWidth="1"/>
    <col min="10" max="33" width="13" customWidth="1"/>
  </cols>
  <sheetData>
    <row r="1" spans="1:33" ht="34"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45">
      <c r="A2" s="2" t="s">
        <v>33</v>
      </c>
      <c r="B2" s="2">
        <v>25</v>
      </c>
      <c r="C2" s="2">
        <v>26</v>
      </c>
      <c r="D2" s="2">
        <v>28</v>
      </c>
      <c r="E2" s="2">
        <v>27</v>
      </c>
      <c r="F2" s="2">
        <v>24</v>
      </c>
      <c r="G2" s="2">
        <v>28</v>
      </c>
      <c r="H2" s="2">
        <v>25</v>
      </c>
      <c r="I2" s="2">
        <v>26</v>
      </c>
      <c r="J2" s="2">
        <v>32</v>
      </c>
      <c r="K2" s="2">
        <v>45</v>
      </c>
      <c r="L2" s="2">
        <v>35</v>
      </c>
      <c r="M2" s="2">
        <v>48</v>
      </c>
      <c r="N2" s="2">
        <v>38</v>
      </c>
      <c r="O2" s="2">
        <v>45</v>
      </c>
      <c r="P2" s="2">
        <v>29</v>
      </c>
      <c r="Q2" s="2">
        <v>49</v>
      </c>
      <c r="R2" s="2">
        <v>45</v>
      </c>
      <c r="S2" s="2">
        <v>42</v>
      </c>
      <c r="T2" s="2">
        <v>48</v>
      </c>
      <c r="U2" s="2">
        <v>43</v>
      </c>
      <c r="V2" s="2">
        <v>45</v>
      </c>
      <c r="W2" s="2">
        <v>40</v>
      </c>
      <c r="X2" s="2">
        <v>44</v>
      </c>
      <c r="Y2" s="2">
        <v>42</v>
      </c>
      <c r="Z2" s="2">
        <v>60</v>
      </c>
      <c r="AA2" s="2">
        <v>48</v>
      </c>
      <c r="AB2" s="2">
        <v>65</v>
      </c>
      <c r="AC2" s="2">
        <v>48</v>
      </c>
      <c r="AD2" s="2">
        <v>62</v>
      </c>
      <c r="AE2" s="2">
        <v>45</v>
      </c>
      <c r="AF2" s="2">
        <v>58</v>
      </c>
      <c r="AG2" s="2">
        <v>48</v>
      </c>
    </row>
    <row r="3" spans="1:33" x14ac:dyDescent="0.45">
      <c r="A3" s="2" t="s">
        <v>34</v>
      </c>
      <c r="B3" s="2">
        <v>30</v>
      </c>
      <c r="C3" s="2">
        <v>27</v>
      </c>
      <c r="D3" s="2">
        <v>32</v>
      </c>
      <c r="E3" s="2">
        <v>28</v>
      </c>
      <c r="F3" s="2">
        <v>30</v>
      </c>
      <c r="G3" s="2">
        <v>27</v>
      </c>
      <c r="H3" s="2">
        <v>29</v>
      </c>
      <c r="I3" s="2">
        <v>27</v>
      </c>
      <c r="J3" s="2">
        <v>35</v>
      </c>
      <c r="K3" s="2">
        <v>38</v>
      </c>
      <c r="L3" s="2">
        <v>38</v>
      </c>
      <c r="M3" s="2">
        <v>38</v>
      </c>
      <c r="N3" s="2">
        <v>35</v>
      </c>
      <c r="O3" s="2">
        <v>38</v>
      </c>
      <c r="P3" s="2">
        <v>37</v>
      </c>
      <c r="Q3" s="2">
        <v>38</v>
      </c>
      <c r="R3" s="2">
        <v>40</v>
      </c>
      <c r="S3" s="2">
        <v>35</v>
      </c>
      <c r="T3" s="2">
        <v>42</v>
      </c>
      <c r="U3" s="2">
        <v>38</v>
      </c>
      <c r="V3" s="2">
        <v>38</v>
      </c>
      <c r="W3" s="2">
        <v>34</v>
      </c>
      <c r="X3" s="2">
        <v>36</v>
      </c>
      <c r="Y3" s="2">
        <v>35</v>
      </c>
      <c r="Z3" s="2">
        <v>52</v>
      </c>
      <c r="AA3" s="2">
        <v>40</v>
      </c>
      <c r="AB3" s="2">
        <v>55</v>
      </c>
      <c r="AC3" s="2">
        <v>42</v>
      </c>
      <c r="AD3" s="2">
        <v>52</v>
      </c>
      <c r="AE3" s="2">
        <v>43</v>
      </c>
      <c r="AF3" s="2">
        <v>51</v>
      </c>
      <c r="AG3" s="2">
        <v>40</v>
      </c>
    </row>
    <row r="4" spans="1:33" x14ac:dyDescent="0.45">
      <c r="A4" s="2" t="s">
        <v>35</v>
      </c>
      <c r="B4" s="2">
        <v>15</v>
      </c>
      <c r="C4" s="2">
        <v>18</v>
      </c>
      <c r="D4" s="2">
        <v>16</v>
      </c>
      <c r="E4" s="2">
        <v>20</v>
      </c>
      <c r="F4" s="2">
        <v>18</v>
      </c>
      <c r="G4" s="2">
        <v>22</v>
      </c>
      <c r="H4" s="2">
        <v>16</v>
      </c>
      <c r="I4" s="2">
        <v>18</v>
      </c>
      <c r="J4" s="2">
        <v>20</v>
      </c>
      <c r="K4" s="2">
        <v>25</v>
      </c>
      <c r="L4" s="2">
        <v>20</v>
      </c>
      <c r="M4" s="2">
        <v>25</v>
      </c>
      <c r="N4" s="2">
        <v>22</v>
      </c>
      <c r="O4" s="2">
        <v>26</v>
      </c>
      <c r="P4" s="2">
        <v>20</v>
      </c>
      <c r="Q4" s="2">
        <v>25</v>
      </c>
      <c r="R4" s="2">
        <v>24</v>
      </c>
      <c r="S4" s="2">
        <v>25</v>
      </c>
      <c r="T4" s="2">
        <v>26</v>
      </c>
      <c r="U4" s="2">
        <v>28</v>
      </c>
      <c r="V4" s="2">
        <v>24</v>
      </c>
      <c r="W4" s="2">
        <v>26</v>
      </c>
      <c r="X4" s="2">
        <v>24</v>
      </c>
      <c r="Y4" s="2">
        <v>26</v>
      </c>
      <c r="Z4" s="2">
        <v>32</v>
      </c>
      <c r="AA4" s="2">
        <v>30</v>
      </c>
      <c r="AB4" s="2">
        <v>35</v>
      </c>
      <c r="AC4" s="2">
        <v>32</v>
      </c>
      <c r="AD4" s="2">
        <v>35</v>
      </c>
      <c r="AE4" s="2">
        <v>30</v>
      </c>
      <c r="AF4" s="2">
        <v>32</v>
      </c>
      <c r="AG4" s="2">
        <v>30</v>
      </c>
    </row>
    <row r="5" spans="1:33" x14ac:dyDescent="0.45">
      <c r="A5" s="2" t="s">
        <v>36</v>
      </c>
      <c r="B5" s="2">
        <v>8</v>
      </c>
      <c r="C5" s="2">
        <v>6</v>
      </c>
      <c r="D5" s="2">
        <v>8</v>
      </c>
      <c r="E5" s="2">
        <v>7</v>
      </c>
      <c r="F5" s="2">
        <v>8</v>
      </c>
      <c r="G5" s="2">
        <v>6</v>
      </c>
      <c r="H5" s="2">
        <v>8</v>
      </c>
      <c r="I5" s="2">
        <v>6</v>
      </c>
      <c r="J5" s="2">
        <v>10</v>
      </c>
      <c r="K5" s="2">
        <v>18</v>
      </c>
      <c r="L5" s="2">
        <v>10</v>
      </c>
      <c r="M5" s="2">
        <v>20</v>
      </c>
      <c r="N5" s="2">
        <v>10</v>
      </c>
      <c r="O5" s="2">
        <v>20</v>
      </c>
      <c r="P5" s="2">
        <v>11</v>
      </c>
      <c r="Q5" s="2">
        <v>18</v>
      </c>
      <c r="R5" s="2">
        <v>11</v>
      </c>
      <c r="S5" s="2">
        <v>20</v>
      </c>
      <c r="T5" s="2">
        <v>12</v>
      </c>
      <c r="U5" s="2">
        <v>23</v>
      </c>
      <c r="V5" s="2">
        <v>11</v>
      </c>
      <c r="W5" s="2">
        <v>22</v>
      </c>
      <c r="X5" s="2">
        <v>11</v>
      </c>
      <c r="Y5" s="2">
        <v>23</v>
      </c>
      <c r="Z5" s="2">
        <v>15</v>
      </c>
      <c r="AA5" s="2">
        <v>22</v>
      </c>
      <c r="AB5" s="2">
        <v>16</v>
      </c>
      <c r="AC5" s="2">
        <v>25</v>
      </c>
      <c r="AD5" s="2">
        <v>16</v>
      </c>
      <c r="AE5" s="2">
        <v>25</v>
      </c>
      <c r="AF5" s="2">
        <v>15</v>
      </c>
      <c r="AG5" s="2">
        <v>22</v>
      </c>
    </row>
    <row r="6" spans="1:33" x14ac:dyDescent="0.45">
      <c r="A6" s="2" t="s">
        <v>37</v>
      </c>
      <c r="B6" s="2">
        <v>12</v>
      </c>
      <c r="C6" s="2">
        <v>5</v>
      </c>
      <c r="D6" s="2">
        <v>12</v>
      </c>
      <c r="E6" s="2">
        <v>6</v>
      </c>
      <c r="F6" s="2">
        <v>12</v>
      </c>
      <c r="G6" s="2">
        <v>5</v>
      </c>
      <c r="H6" s="2">
        <v>12</v>
      </c>
      <c r="I6" s="2">
        <v>6</v>
      </c>
      <c r="J6" s="2">
        <v>12</v>
      </c>
      <c r="K6" s="2">
        <v>8</v>
      </c>
      <c r="L6" s="2">
        <v>13</v>
      </c>
      <c r="M6" s="2">
        <v>9</v>
      </c>
      <c r="N6" s="2">
        <v>13</v>
      </c>
      <c r="O6" s="2">
        <v>9</v>
      </c>
      <c r="P6" s="2">
        <v>13</v>
      </c>
      <c r="Q6" s="2">
        <v>8</v>
      </c>
      <c r="R6" s="2">
        <v>13</v>
      </c>
      <c r="S6" s="2">
        <v>8</v>
      </c>
      <c r="T6" s="2">
        <v>14</v>
      </c>
      <c r="U6" s="2">
        <v>9</v>
      </c>
      <c r="V6" s="2">
        <v>14</v>
      </c>
      <c r="W6" s="2">
        <v>9</v>
      </c>
      <c r="X6" s="2">
        <v>13</v>
      </c>
      <c r="Y6" s="2">
        <v>9</v>
      </c>
      <c r="Z6" s="2">
        <v>18</v>
      </c>
      <c r="AA6" s="2">
        <v>12</v>
      </c>
      <c r="AB6" s="2">
        <v>20</v>
      </c>
      <c r="AC6" s="2">
        <v>12</v>
      </c>
      <c r="AD6" s="2">
        <v>20</v>
      </c>
      <c r="AE6" s="2">
        <v>12</v>
      </c>
      <c r="AF6" s="2">
        <v>20</v>
      </c>
      <c r="AG6" s="2">
        <v>12</v>
      </c>
    </row>
    <row r="7" spans="1:33" x14ac:dyDescent="0.45">
      <c r="A7" s="2" t="s">
        <v>38</v>
      </c>
      <c r="B7" s="2">
        <v>3</v>
      </c>
      <c r="C7" s="2">
        <v>7</v>
      </c>
      <c r="D7" s="2">
        <v>4</v>
      </c>
      <c r="E7" s="2">
        <v>8</v>
      </c>
      <c r="F7" s="2">
        <v>4</v>
      </c>
      <c r="G7" s="2">
        <v>8</v>
      </c>
      <c r="H7" s="2">
        <v>4</v>
      </c>
      <c r="I7" s="2">
        <v>8</v>
      </c>
      <c r="J7" s="2">
        <v>6</v>
      </c>
      <c r="K7" s="2">
        <v>10</v>
      </c>
      <c r="L7" s="2">
        <v>7</v>
      </c>
      <c r="M7" s="2">
        <v>12</v>
      </c>
      <c r="N7" s="2">
        <v>8</v>
      </c>
      <c r="O7" s="2">
        <v>12</v>
      </c>
      <c r="P7" s="2">
        <v>7</v>
      </c>
      <c r="Q7" s="2">
        <v>11</v>
      </c>
      <c r="R7" s="2">
        <v>5</v>
      </c>
      <c r="S7" s="2">
        <v>10</v>
      </c>
      <c r="T7" s="2">
        <v>6</v>
      </c>
      <c r="U7" s="2">
        <v>11</v>
      </c>
      <c r="V7" s="2">
        <v>6</v>
      </c>
      <c r="W7" s="2">
        <v>11</v>
      </c>
      <c r="X7" s="2">
        <v>5</v>
      </c>
      <c r="Y7" s="2">
        <v>10</v>
      </c>
      <c r="Z7" s="2">
        <v>8</v>
      </c>
      <c r="AA7" s="2">
        <v>12</v>
      </c>
      <c r="AB7" s="2">
        <v>9</v>
      </c>
      <c r="AC7" s="2">
        <v>15</v>
      </c>
      <c r="AD7" s="2">
        <v>9</v>
      </c>
      <c r="AE7" s="2">
        <v>15</v>
      </c>
      <c r="AF7" s="2">
        <v>9</v>
      </c>
      <c r="AG7" s="2">
        <v>13</v>
      </c>
    </row>
    <row r="8" spans="1:33" x14ac:dyDescent="0.45">
      <c r="A8" s="2" t="s">
        <v>39</v>
      </c>
      <c r="B8" s="2">
        <v>7</v>
      </c>
      <c r="C8" s="2">
        <v>3</v>
      </c>
      <c r="D8" s="2">
        <v>7</v>
      </c>
      <c r="E8" s="2">
        <v>4</v>
      </c>
      <c r="F8" s="2">
        <v>7</v>
      </c>
      <c r="G8" s="2">
        <v>4</v>
      </c>
      <c r="H8" s="2">
        <v>7</v>
      </c>
      <c r="I8" s="2">
        <v>4</v>
      </c>
      <c r="J8" s="2">
        <v>8</v>
      </c>
      <c r="K8" s="2">
        <v>5</v>
      </c>
      <c r="L8" s="2">
        <v>9</v>
      </c>
      <c r="M8" s="2">
        <v>6</v>
      </c>
      <c r="N8" s="2">
        <v>9</v>
      </c>
      <c r="O8" s="2">
        <v>5</v>
      </c>
      <c r="P8" s="2">
        <v>9</v>
      </c>
      <c r="Q8" s="2">
        <v>5</v>
      </c>
      <c r="R8" s="2">
        <v>7</v>
      </c>
      <c r="S8" s="2">
        <v>6</v>
      </c>
      <c r="T8" s="2">
        <v>8</v>
      </c>
      <c r="U8" s="2">
        <v>8</v>
      </c>
      <c r="V8" s="2">
        <v>8</v>
      </c>
      <c r="W8" s="2">
        <v>7</v>
      </c>
      <c r="X8" s="2">
        <v>8</v>
      </c>
      <c r="Y8" s="2">
        <v>7</v>
      </c>
      <c r="Z8" s="2">
        <v>10</v>
      </c>
      <c r="AA8" s="2">
        <v>8</v>
      </c>
      <c r="AB8" s="2">
        <v>11</v>
      </c>
      <c r="AC8" s="2">
        <v>9</v>
      </c>
      <c r="AD8" s="2">
        <v>11</v>
      </c>
      <c r="AE8" s="2">
        <v>8</v>
      </c>
      <c r="AF8" s="2">
        <v>10</v>
      </c>
      <c r="AG8" s="2">
        <v>8</v>
      </c>
    </row>
    <row r="9" spans="1:33" x14ac:dyDescent="0.45">
      <c r="A9" s="2" t="s">
        <v>40</v>
      </c>
      <c r="B9" s="2">
        <v>2</v>
      </c>
      <c r="C9" s="2">
        <v>3</v>
      </c>
      <c r="D9" s="2">
        <v>2</v>
      </c>
      <c r="E9" s="2">
        <v>3</v>
      </c>
      <c r="F9" s="2">
        <v>2</v>
      </c>
      <c r="G9" s="2">
        <v>3</v>
      </c>
      <c r="H9" s="2">
        <v>2</v>
      </c>
      <c r="I9" s="2">
        <v>3</v>
      </c>
      <c r="J9" s="2">
        <v>2</v>
      </c>
      <c r="K9" s="2">
        <v>3</v>
      </c>
      <c r="L9" s="2">
        <v>3</v>
      </c>
      <c r="M9" s="2">
        <v>4</v>
      </c>
      <c r="N9" s="2">
        <v>3</v>
      </c>
      <c r="O9" s="2">
        <v>4</v>
      </c>
      <c r="P9" s="2">
        <v>2</v>
      </c>
      <c r="Q9" s="2">
        <v>4</v>
      </c>
      <c r="R9" s="2">
        <v>3</v>
      </c>
      <c r="S9" s="2">
        <v>15</v>
      </c>
      <c r="T9" s="2">
        <v>3</v>
      </c>
      <c r="U9" s="2">
        <v>20</v>
      </c>
      <c r="V9" s="2">
        <v>3</v>
      </c>
      <c r="W9" s="2">
        <v>18</v>
      </c>
      <c r="X9" s="2">
        <v>3</v>
      </c>
      <c r="Y9" s="2">
        <v>15</v>
      </c>
      <c r="Z9" s="2">
        <v>4</v>
      </c>
      <c r="AA9" s="2">
        <v>15</v>
      </c>
      <c r="AB9" s="2">
        <v>5</v>
      </c>
      <c r="AC9" s="2">
        <v>2315</v>
      </c>
      <c r="AD9" s="2">
        <v>5</v>
      </c>
      <c r="AE9" s="2">
        <v>620</v>
      </c>
      <c r="AF9" s="2">
        <v>4</v>
      </c>
      <c r="AG9" s="2">
        <v>52</v>
      </c>
    </row>
    <row r="10" spans="1:33" x14ac:dyDescent="0.45">
      <c r="A10" s="2" t="s">
        <v>41</v>
      </c>
      <c r="B10" s="2">
        <v>85</v>
      </c>
      <c r="C10" s="2">
        <v>55</v>
      </c>
      <c r="D10" s="2">
        <v>90</v>
      </c>
      <c r="E10" s="2">
        <v>58</v>
      </c>
      <c r="F10" s="2">
        <v>88</v>
      </c>
      <c r="G10" s="2">
        <v>56</v>
      </c>
      <c r="H10" s="2">
        <v>89</v>
      </c>
      <c r="I10" s="2">
        <v>56</v>
      </c>
      <c r="J10" s="2">
        <v>45</v>
      </c>
      <c r="K10" s="2">
        <v>35</v>
      </c>
      <c r="L10" s="2">
        <v>45</v>
      </c>
      <c r="M10" s="2">
        <v>35</v>
      </c>
      <c r="N10" s="2">
        <v>45</v>
      </c>
      <c r="O10" s="2">
        <v>34</v>
      </c>
      <c r="P10" s="2">
        <v>43</v>
      </c>
      <c r="Q10" s="2">
        <v>34</v>
      </c>
      <c r="R10" s="2">
        <v>70</v>
      </c>
      <c r="S10" s="2">
        <v>28</v>
      </c>
      <c r="T10" s="2">
        <v>75</v>
      </c>
      <c r="U10" s="2">
        <v>28</v>
      </c>
      <c r="V10" s="2">
        <v>70</v>
      </c>
      <c r="W10" s="2">
        <v>28</v>
      </c>
      <c r="X10" s="2">
        <v>66</v>
      </c>
      <c r="Y10" s="2">
        <v>28</v>
      </c>
      <c r="Z10" s="2">
        <v>105</v>
      </c>
      <c r="AA10" s="2">
        <v>3</v>
      </c>
      <c r="AB10" s="2">
        <v>110</v>
      </c>
      <c r="AC10" s="2">
        <v>2</v>
      </c>
      <c r="AD10" s="2">
        <v>110</v>
      </c>
      <c r="AE10" s="2">
        <v>3</v>
      </c>
      <c r="AF10" s="2">
        <v>107</v>
      </c>
      <c r="AG10" s="2">
        <v>2</v>
      </c>
    </row>
    <row r="11" spans="1:33" x14ac:dyDescent="0.45">
      <c r="A11" s="2" t="s">
        <v>70</v>
      </c>
      <c r="B11" s="4">
        <f>SUM(B2,B3,B4,B5,B6,B7,B8,B9,B10)</f>
        <v>187</v>
      </c>
      <c r="C11" s="4">
        <f>SUM(C2,C3,C4,C5,C6,C7,C8,C9,C10)</f>
        <v>150</v>
      </c>
      <c r="D11" s="4">
        <f t="shared" ref="D11:AG11" si="0">SUM(D2,D3,D4,D5,D6,D7,D8,D9,D10)</f>
        <v>199</v>
      </c>
      <c r="E11" s="4">
        <f t="shared" si="0"/>
        <v>161</v>
      </c>
      <c r="F11" s="4">
        <f t="shared" si="0"/>
        <v>193</v>
      </c>
      <c r="G11" s="4">
        <f t="shared" si="0"/>
        <v>159</v>
      </c>
      <c r="H11" s="4">
        <f t="shared" si="0"/>
        <v>192</v>
      </c>
      <c r="I11" s="4">
        <f t="shared" si="0"/>
        <v>154</v>
      </c>
      <c r="J11" s="4">
        <f t="shared" si="0"/>
        <v>170</v>
      </c>
      <c r="K11" s="4">
        <f t="shared" si="0"/>
        <v>187</v>
      </c>
      <c r="L11" s="4">
        <f t="shared" si="0"/>
        <v>180</v>
      </c>
      <c r="M11" s="4">
        <f t="shared" si="0"/>
        <v>197</v>
      </c>
      <c r="N11" s="4">
        <f t="shared" si="0"/>
        <v>183</v>
      </c>
      <c r="O11" s="4">
        <f t="shared" si="0"/>
        <v>193</v>
      </c>
      <c r="P11" s="4">
        <f t="shared" si="0"/>
        <v>171</v>
      </c>
      <c r="Q11" s="4">
        <f t="shared" si="0"/>
        <v>192</v>
      </c>
      <c r="R11" s="4">
        <f t="shared" si="0"/>
        <v>218</v>
      </c>
      <c r="S11" s="4">
        <f t="shared" si="0"/>
        <v>189</v>
      </c>
      <c r="T11" s="4">
        <f t="shared" si="0"/>
        <v>234</v>
      </c>
      <c r="U11" s="4">
        <f t="shared" si="0"/>
        <v>208</v>
      </c>
      <c r="V11" s="4">
        <f t="shared" si="0"/>
        <v>219</v>
      </c>
      <c r="W11" s="4">
        <f t="shared" si="0"/>
        <v>195</v>
      </c>
      <c r="X11" s="4">
        <f t="shared" si="0"/>
        <v>210</v>
      </c>
      <c r="Y11" s="4">
        <f t="shared" si="0"/>
        <v>195</v>
      </c>
      <c r="Z11" s="4">
        <f t="shared" si="0"/>
        <v>304</v>
      </c>
      <c r="AA11" s="4">
        <f t="shared" si="0"/>
        <v>190</v>
      </c>
      <c r="AB11" s="4">
        <f t="shared" si="0"/>
        <v>326</v>
      </c>
      <c r="AC11" s="4">
        <f t="shared" si="0"/>
        <v>2500</v>
      </c>
      <c r="AD11" s="4">
        <f t="shared" si="0"/>
        <v>320</v>
      </c>
      <c r="AE11" s="4">
        <f t="shared" si="0"/>
        <v>801</v>
      </c>
      <c r="AF11" s="4">
        <f t="shared" si="0"/>
        <v>306</v>
      </c>
      <c r="AG11" s="4">
        <f t="shared" si="0"/>
        <v>227</v>
      </c>
    </row>
    <row r="12" spans="1:33" x14ac:dyDescent="0.45">
      <c r="A12" s="5" t="s">
        <v>56</v>
      </c>
      <c r="B12" s="6" t="s">
        <v>71</v>
      </c>
      <c r="C12" s="6" t="s">
        <v>65</v>
      </c>
      <c r="D12" s="6" t="s">
        <v>67</v>
      </c>
      <c r="E12" s="7"/>
      <c r="F12" t="s">
        <v>68</v>
      </c>
      <c r="G12" t="s">
        <v>69</v>
      </c>
    </row>
    <row r="13" spans="1:33" x14ac:dyDescent="0.45">
      <c r="A13" s="2" t="s">
        <v>57</v>
      </c>
      <c r="B13" s="4">
        <f>SUM(C2,E2,G2,I2,K2,M2,O2,Q2,S2,U2,W2,Y2,AA2,AC2,AE2,AG2)/16</f>
        <v>40.625</v>
      </c>
      <c r="C13" s="4"/>
      <c r="D13" s="2">
        <v>40</v>
      </c>
      <c r="F13">
        <f>(B2/B$11)*100</f>
        <v>13.368983957219251</v>
      </c>
      <c r="G13">
        <f>(MIN(C2,D13*3)/C$11)*100</f>
        <v>17.333333333333336</v>
      </c>
      <c r="I13" s="8"/>
      <c r="J13" s="30" t="s">
        <v>79</v>
      </c>
      <c r="K13" s="30"/>
      <c r="L13" s="30"/>
      <c r="M13" s="30"/>
      <c r="N13" s="30" t="s">
        <v>80</v>
      </c>
      <c r="O13" s="30"/>
      <c r="P13" s="30"/>
      <c r="Q13" s="30"/>
    </row>
    <row r="14" spans="1:33" x14ac:dyDescent="0.45">
      <c r="A14" s="2" t="s">
        <v>58</v>
      </c>
      <c r="B14" s="4">
        <f t="shared" ref="B14:B19" si="1">SUM(C3,E3,G3,I3,K3,M3,O3,Q3,S3,U3,W3,Y3,AA3,AC3,AE3,AG3)/16</f>
        <v>35.5</v>
      </c>
      <c r="C14" s="4"/>
      <c r="D14" s="2">
        <v>35</v>
      </c>
      <c r="F14">
        <f t="shared" ref="F14:F20" si="2">(B3/B$11)*100</f>
        <v>16.042780748663102</v>
      </c>
      <c r="G14">
        <f t="shared" ref="G14:G20" si="3">(MIN(C3,D14*3)/C$11)*100</f>
        <v>18</v>
      </c>
      <c r="I14" s="8" t="s">
        <v>0</v>
      </c>
      <c r="J14" s="8" t="s">
        <v>74</v>
      </c>
      <c r="K14" s="8" t="s">
        <v>75</v>
      </c>
      <c r="L14" s="8" t="s">
        <v>76</v>
      </c>
      <c r="M14" s="8" t="s">
        <v>77</v>
      </c>
      <c r="N14" s="8" t="s">
        <v>74</v>
      </c>
      <c r="O14" s="8" t="s">
        <v>75</v>
      </c>
      <c r="P14" s="8" t="s">
        <v>76</v>
      </c>
      <c r="Q14" s="8" t="s">
        <v>77</v>
      </c>
    </row>
    <row r="15" spans="1:33" x14ac:dyDescent="0.45">
      <c r="A15" s="2" t="s">
        <v>59</v>
      </c>
      <c r="B15" s="4">
        <f t="shared" si="1"/>
        <v>25.375</v>
      </c>
      <c r="C15" s="4"/>
      <c r="D15" s="2">
        <v>25</v>
      </c>
      <c r="F15">
        <f t="shared" si="2"/>
        <v>8.0213903743315509</v>
      </c>
      <c r="G15">
        <f t="shared" si="3"/>
        <v>12</v>
      </c>
      <c r="I15" s="9" t="s">
        <v>33</v>
      </c>
      <c r="J15" s="9">
        <f>SUM(B2,D2,F2,H2)</f>
        <v>102</v>
      </c>
      <c r="K15" s="9">
        <f>SUM(J2,L2,N2,P2)</f>
        <v>134</v>
      </c>
      <c r="L15" s="9">
        <f>SUM(R2,T2,V2,X2)</f>
        <v>182</v>
      </c>
      <c r="M15" s="9">
        <f>SUM(Z2,AB2,AD2,AF2)</f>
        <v>245</v>
      </c>
      <c r="N15" s="9">
        <f>SUM(MIN(C2,40*3),MIN(E2,40*3),MIN(G2,40*3),MIN(I2,40*3))</f>
        <v>107</v>
      </c>
      <c r="O15" s="9">
        <f>SUM(MIN(K2,40*3),MIN(M2,40*3),MIN(O2,40*3),MIN(Q2,40*3))</f>
        <v>187</v>
      </c>
      <c r="P15" s="9">
        <f>SUM(MIN(S2,40*3),MIN(U2,40*3),MIN(W2,40*3),MIN(Y2,40*3))</f>
        <v>167</v>
      </c>
      <c r="Q15" s="9">
        <f>SUM(MIN(AA2,40*3),MIN(AC2,40*3),MIN(AE2,40*3),MIN(AG2,40*3))</f>
        <v>189</v>
      </c>
    </row>
    <row r="16" spans="1:33" x14ac:dyDescent="0.45">
      <c r="A16" s="2" t="s">
        <v>60</v>
      </c>
      <c r="B16" s="4">
        <f t="shared" si="1"/>
        <v>17.6875</v>
      </c>
      <c r="C16" s="4"/>
      <c r="D16" s="2">
        <v>17</v>
      </c>
      <c r="F16">
        <f t="shared" si="2"/>
        <v>4.2780748663101598</v>
      </c>
      <c r="G16">
        <f t="shared" si="3"/>
        <v>4</v>
      </c>
      <c r="I16" s="9" t="s">
        <v>34</v>
      </c>
      <c r="J16" s="9">
        <f t="shared" ref="J16:J23" si="4">SUM(B3,D3,F3,H3)</f>
        <v>121</v>
      </c>
      <c r="K16" s="9">
        <f t="shared" ref="K16:K24" si="5">SUM(J3,L3,N3,P3)</f>
        <v>145</v>
      </c>
      <c r="L16" s="9">
        <f t="shared" ref="L16:L24" si="6">SUM(R3,T3,V3,X3)</f>
        <v>156</v>
      </c>
      <c r="M16" s="9">
        <f t="shared" ref="M16:M24" si="7">SUM(Z3,AB3,AD3,AF3)</f>
        <v>210</v>
      </c>
      <c r="N16" s="9">
        <f t="shared" ref="N16:N23" si="8">SUM(MIN(C3,40*3),MIN(E3,40*3),MIN(G3,40*3),MIN(I3,40*3))</f>
        <v>109</v>
      </c>
      <c r="O16" s="9">
        <f t="shared" ref="O16:O23" si="9">SUM(MIN(K3,40*3),MIN(M3,40*3),MIN(O3,40*3),MIN(Q3,40*3))</f>
        <v>152</v>
      </c>
      <c r="P16" s="9">
        <f t="shared" ref="P16:P23" si="10">SUM(MIN(S3,40*3),MIN(U3,40*3),MIN(W3,40*3),MIN(Y3,40*3))</f>
        <v>142</v>
      </c>
      <c r="Q16" s="9">
        <f t="shared" ref="Q16:Q23" si="11">SUM(MIN(AA3,40*3),MIN(AC3,40*3),MIN(AE3,40*3),MIN(AG3,40*3))</f>
        <v>165</v>
      </c>
    </row>
    <row r="17" spans="1:17" x14ac:dyDescent="0.45">
      <c r="A17" s="2" t="s">
        <v>61</v>
      </c>
      <c r="B17" s="4">
        <f t="shared" si="1"/>
        <v>8.6875</v>
      </c>
      <c r="C17" s="4"/>
      <c r="D17" s="2">
        <v>8</v>
      </c>
      <c r="F17">
        <f t="shared" si="2"/>
        <v>6.4171122994652414</v>
      </c>
      <c r="G17">
        <f t="shared" si="3"/>
        <v>3.3333333333333335</v>
      </c>
      <c r="I17" s="9" t="s">
        <v>35</v>
      </c>
      <c r="J17" s="9">
        <f t="shared" si="4"/>
        <v>65</v>
      </c>
      <c r="K17" s="9">
        <f t="shared" si="5"/>
        <v>82</v>
      </c>
      <c r="L17" s="9">
        <f t="shared" si="6"/>
        <v>98</v>
      </c>
      <c r="M17" s="9">
        <f t="shared" si="7"/>
        <v>134</v>
      </c>
      <c r="N17" s="9">
        <f t="shared" si="8"/>
        <v>78</v>
      </c>
      <c r="O17" s="9">
        <f t="shared" si="9"/>
        <v>101</v>
      </c>
      <c r="P17" s="9">
        <f t="shared" si="10"/>
        <v>105</v>
      </c>
      <c r="Q17" s="9">
        <f t="shared" si="11"/>
        <v>122</v>
      </c>
    </row>
    <row r="18" spans="1:17" x14ac:dyDescent="0.45">
      <c r="A18" s="2" t="s">
        <v>62</v>
      </c>
      <c r="B18" s="4">
        <f t="shared" si="1"/>
        <v>10.8125</v>
      </c>
      <c r="C18" s="4"/>
      <c r="D18" s="2">
        <v>10</v>
      </c>
      <c r="F18">
        <f t="shared" si="2"/>
        <v>1.6042780748663104</v>
      </c>
      <c r="G18">
        <f t="shared" si="3"/>
        <v>4.666666666666667</v>
      </c>
      <c r="I18" s="9" t="s">
        <v>36</v>
      </c>
      <c r="J18" s="9">
        <f t="shared" si="4"/>
        <v>32</v>
      </c>
      <c r="K18" s="9">
        <f t="shared" si="5"/>
        <v>41</v>
      </c>
      <c r="L18" s="9">
        <f t="shared" si="6"/>
        <v>45</v>
      </c>
      <c r="M18" s="9">
        <f t="shared" si="7"/>
        <v>62</v>
      </c>
      <c r="N18" s="9">
        <f t="shared" si="8"/>
        <v>25</v>
      </c>
      <c r="O18" s="9">
        <f t="shared" si="9"/>
        <v>76</v>
      </c>
      <c r="P18" s="9">
        <f t="shared" si="10"/>
        <v>88</v>
      </c>
      <c r="Q18" s="9">
        <f t="shared" si="11"/>
        <v>94</v>
      </c>
    </row>
    <row r="19" spans="1:17" x14ac:dyDescent="0.45">
      <c r="A19" s="2" t="s">
        <v>63</v>
      </c>
      <c r="B19" s="4">
        <f t="shared" si="1"/>
        <v>6.0625</v>
      </c>
      <c r="C19" s="4"/>
      <c r="D19" s="2">
        <v>6</v>
      </c>
      <c r="F19">
        <f t="shared" si="2"/>
        <v>3.7433155080213902</v>
      </c>
      <c r="G19">
        <f t="shared" si="3"/>
        <v>2</v>
      </c>
      <c r="I19" s="9" t="s">
        <v>37</v>
      </c>
      <c r="J19" s="9">
        <f t="shared" si="4"/>
        <v>48</v>
      </c>
      <c r="K19" s="9">
        <f t="shared" si="5"/>
        <v>51</v>
      </c>
      <c r="L19" s="9">
        <f t="shared" si="6"/>
        <v>54</v>
      </c>
      <c r="M19" s="9">
        <f t="shared" si="7"/>
        <v>78</v>
      </c>
      <c r="N19" s="9">
        <f t="shared" si="8"/>
        <v>22</v>
      </c>
      <c r="O19" s="9">
        <f t="shared" si="9"/>
        <v>34</v>
      </c>
      <c r="P19" s="9">
        <f t="shared" si="10"/>
        <v>35</v>
      </c>
      <c r="Q19" s="9">
        <f t="shared" si="11"/>
        <v>48</v>
      </c>
    </row>
    <row r="20" spans="1:17" x14ac:dyDescent="0.45">
      <c r="A20" s="2" t="s">
        <v>64</v>
      </c>
      <c r="B20" s="4">
        <f>SUM(C9,E9,G9,I9,K9,M9,O9,Q9,S9,U9,W9,Y9,AA9,AG9)/14</f>
        <v>11.571428571428571</v>
      </c>
      <c r="C20" s="4" t="s">
        <v>66</v>
      </c>
      <c r="D20" s="4">
        <v>11</v>
      </c>
      <c r="F20">
        <f t="shared" si="2"/>
        <v>1.0695187165775399</v>
      </c>
      <c r="G20">
        <f t="shared" si="3"/>
        <v>2</v>
      </c>
      <c r="I20" s="9" t="s">
        <v>38</v>
      </c>
      <c r="J20" s="9">
        <f t="shared" si="4"/>
        <v>15</v>
      </c>
      <c r="K20" s="9">
        <f t="shared" si="5"/>
        <v>28</v>
      </c>
      <c r="L20" s="9">
        <f t="shared" si="6"/>
        <v>22</v>
      </c>
      <c r="M20" s="9">
        <f t="shared" si="7"/>
        <v>35</v>
      </c>
      <c r="N20" s="9">
        <f t="shared" si="8"/>
        <v>31</v>
      </c>
      <c r="O20" s="9">
        <f t="shared" si="9"/>
        <v>45</v>
      </c>
      <c r="P20" s="9">
        <f t="shared" si="10"/>
        <v>42</v>
      </c>
      <c r="Q20" s="9">
        <f t="shared" si="11"/>
        <v>55</v>
      </c>
    </row>
    <row r="21" spans="1:17" x14ac:dyDescent="0.45">
      <c r="I21" s="9" t="s">
        <v>39</v>
      </c>
      <c r="J21" s="9">
        <f t="shared" si="4"/>
        <v>28</v>
      </c>
      <c r="K21" s="9">
        <f t="shared" si="5"/>
        <v>35</v>
      </c>
      <c r="L21" s="9">
        <f t="shared" si="6"/>
        <v>31</v>
      </c>
      <c r="M21" s="9">
        <f t="shared" si="7"/>
        <v>42</v>
      </c>
      <c r="N21" s="9">
        <f t="shared" si="8"/>
        <v>15</v>
      </c>
      <c r="O21" s="9">
        <f t="shared" si="9"/>
        <v>21</v>
      </c>
      <c r="P21" s="9">
        <f t="shared" si="10"/>
        <v>28</v>
      </c>
      <c r="Q21" s="9">
        <f t="shared" si="11"/>
        <v>33</v>
      </c>
    </row>
    <row r="22" spans="1:17" x14ac:dyDescent="0.45">
      <c r="A22" s="3"/>
      <c r="F22" s="15" t="s">
        <v>72</v>
      </c>
      <c r="G22" s="15" t="s">
        <v>73</v>
      </c>
      <c r="I22" s="9" t="s">
        <v>40</v>
      </c>
      <c r="J22" s="9">
        <f t="shared" si="4"/>
        <v>8</v>
      </c>
      <c r="K22" s="9">
        <f t="shared" si="5"/>
        <v>10</v>
      </c>
      <c r="L22" s="9">
        <f t="shared" si="6"/>
        <v>12</v>
      </c>
      <c r="M22" s="9">
        <f t="shared" si="7"/>
        <v>18</v>
      </c>
      <c r="N22" s="9">
        <f t="shared" si="8"/>
        <v>12</v>
      </c>
      <c r="O22" s="9">
        <f t="shared" si="9"/>
        <v>15</v>
      </c>
      <c r="P22" s="9">
        <f t="shared" si="10"/>
        <v>68</v>
      </c>
      <c r="Q22" s="9">
        <f t="shared" si="11"/>
        <v>307</v>
      </c>
    </row>
    <row r="23" spans="1:17" x14ac:dyDescent="0.45">
      <c r="A23" s="3"/>
      <c r="F23" s="24" t="s">
        <v>156</v>
      </c>
      <c r="G23" s="15">
        <v>1.5</v>
      </c>
      <c r="I23" s="9" t="s">
        <v>41</v>
      </c>
      <c r="J23" s="9">
        <f t="shared" si="4"/>
        <v>352</v>
      </c>
      <c r="K23" s="9">
        <f t="shared" si="5"/>
        <v>178</v>
      </c>
      <c r="L23" s="9">
        <f t="shared" si="6"/>
        <v>281</v>
      </c>
      <c r="M23" s="9">
        <f t="shared" si="7"/>
        <v>432</v>
      </c>
      <c r="N23" s="9">
        <f t="shared" si="8"/>
        <v>225</v>
      </c>
      <c r="O23" s="9">
        <f t="shared" si="9"/>
        <v>138</v>
      </c>
      <c r="P23" s="9">
        <f t="shared" si="10"/>
        <v>112</v>
      </c>
      <c r="Q23" s="9">
        <f t="shared" si="11"/>
        <v>10</v>
      </c>
    </row>
    <row r="24" spans="1:17" x14ac:dyDescent="0.45">
      <c r="A24" s="3"/>
      <c r="F24" s="17" t="s">
        <v>81</v>
      </c>
      <c r="G24" s="15">
        <v>1.2</v>
      </c>
      <c r="I24" s="10" t="s">
        <v>78</v>
      </c>
      <c r="J24" s="9">
        <f>SUM(B11,D11,F11,H11)</f>
        <v>771</v>
      </c>
      <c r="K24" s="9">
        <f t="shared" si="5"/>
        <v>704</v>
      </c>
      <c r="L24" s="9">
        <f t="shared" si="6"/>
        <v>881</v>
      </c>
      <c r="M24" s="9">
        <f t="shared" si="7"/>
        <v>1256</v>
      </c>
      <c r="N24" s="9">
        <f>SUM(N15,N16,N17,N18,N19,N20,N21,N22,N23)</f>
        <v>624</v>
      </c>
      <c r="O24" s="9">
        <f t="shared" ref="O24:Q24" si="12">SUM(O15,O16,O17,O18,O19,O20,O21,O22,O23)</f>
        <v>769</v>
      </c>
      <c r="P24" s="9">
        <f t="shared" si="12"/>
        <v>787</v>
      </c>
      <c r="Q24" s="9">
        <f t="shared" si="12"/>
        <v>1023</v>
      </c>
    </row>
    <row r="25" spans="1:17" x14ac:dyDescent="0.45">
      <c r="F25" s="24" t="s">
        <v>157</v>
      </c>
      <c r="G25" s="15">
        <v>1</v>
      </c>
    </row>
    <row r="26" spans="1:17" x14ac:dyDescent="0.45">
      <c r="I26" s="12" t="s">
        <v>82</v>
      </c>
      <c r="J26" s="4" t="s">
        <v>68</v>
      </c>
      <c r="K26" s="4" t="s">
        <v>69</v>
      </c>
      <c r="L26" s="4" t="s">
        <v>70</v>
      </c>
      <c r="M26" s="13" t="s">
        <v>86</v>
      </c>
    </row>
    <row r="27" spans="1:17" x14ac:dyDescent="0.45">
      <c r="A27" s="31" t="s">
        <v>87</v>
      </c>
      <c r="B27" s="32"/>
      <c r="C27" s="32"/>
      <c r="D27" s="32"/>
      <c r="E27" s="32"/>
      <c r="I27" s="11" t="s">
        <v>57</v>
      </c>
      <c r="J27" s="4">
        <f>(J15/$J$24)*100*0.4+(K15/$K$24)*100*0.4*1.2+(L15/$L$24)*100*0.4+(M15/$M$24)*100*1.5</f>
        <v>51.951083687177949</v>
      </c>
      <c r="K27" s="4">
        <f>(N15/$N$24)*100*0.6+(O15/$O$24)*100*0.6*1.2+(P15/$P$24)*100*0.6*1.2+(Q15/$Q$24)*100*0.6*1.5</f>
        <v>59.702751975305475</v>
      </c>
      <c r="L27" s="4">
        <f>SUM(J27,K27)</f>
        <v>111.65383566248343</v>
      </c>
      <c r="M27" s="4" t="str">
        <f>ROUND(SUM(J27,K27)/200*100,2)&amp;"%"</f>
        <v>55.83%</v>
      </c>
    </row>
    <row r="28" spans="1:17" x14ac:dyDescent="0.45">
      <c r="A28" s="32"/>
      <c r="B28" s="32"/>
      <c r="C28" s="32"/>
      <c r="D28" s="32"/>
      <c r="E28" s="32"/>
      <c r="I28" s="11" t="s">
        <v>58</v>
      </c>
      <c r="J28" s="4">
        <f t="shared" ref="J28:J35" si="13">(J16/$J$24)*100*0.4+(K16/$K$24)*100*0.4*1.2+(L16/$L$24)*100*0.4+(M16/$M$24)*100*1.5</f>
        <v>48.326403464984537</v>
      </c>
      <c r="K28" s="4">
        <f t="shared" ref="K28:K35" si="14">(N16/$N$24)*100*0.6+(O16/$O$24)*100*0.6*1.2+(P16/$P$24)*100*0.6*1.2+(Q16/$Q$24)*100*0.6*1.5</f>
        <v>52.219473167646072</v>
      </c>
      <c r="L28" s="4">
        <f t="shared" ref="L28:L35" si="15">SUM(J28,K28)</f>
        <v>100.54587663263061</v>
      </c>
      <c r="M28" s="4" t="str">
        <f t="shared" ref="M28:M35" si="16">ROUND(SUM(J28,K28)/200*100,2)&amp;"%"</f>
        <v>50.27%</v>
      </c>
    </row>
    <row r="29" spans="1:17" x14ac:dyDescent="0.45">
      <c r="A29" s="14" t="s">
        <v>88</v>
      </c>
      <c r="B29" s="14" t="s">
        <v>89</v>
      </c>
      <c r="C29" s="14" t="s">
        <v>90</v>
      </c>
      <c r="D29" s="14" t="s">
        <v>91</v>
      </c>
      <c r="E29" s="14" t="s">
        <v>92</v>
      </c>
      <c r="F29" s="14" t="s">
        <v>154</v>
      </c>
      <c r="G29" s="33" t="s">
        <v>160</v>
      </c>
      <c r="H29" s="34" t="s">
        <v>161</v>
      </c>
      <c r="I29" s="20" t="s">
        <v>59</v>
      </c>
      <c r="J29" s="4">
        <f t="shared" si="13"/>
        <v>29.415826860253894</v>
      </c>
      <c r="K29" s="4">
        <f t="shared" si="14"/>
        <v>37.295673871537723</v>
      </c>
      <c r="L29" s="4">
        <f t="shared" si="15"/>
        <v>66.711500731791617</v>
      </c>
      <c r="M29" s="4" t="str">
        <f t="shared" si="16"/>
        <v>33.36%</v>
      </c>
    </row>
    <row r="30" spans="1:17" x14ac:dyDescent="0.45">
      <c r="A30" s="15" t="s">
        <v>93</v>
      </c>
      <c r="B30" s="15" t="s">
        <v>94</v>
      </c>
      <c r="C30" s="15" t="s">
        <v>94</v>
      </c>
      <c r="D30" s="16">
        <v>7260892.7999999998</v>
      </c>
      <c r="E30" s="17">
        <v>80148722</v>
      </c>
      <c r="F30" s="15"/>
      <c r="G30" s="26"/>
      <c r="H30" s="35"/>
      <c r="I30" s="20" t="s">
        <v>60</v>
      </c>
      <c r="J30" s="4">
        <f t="shared" si="13"/>
        <v>13.903227530173467</v>
      </c>
      <c r="K30" s="4">
        <f t="shared" si="14"/>
        <v>25.840201516889724</v>
      </c>
      <c r="L30" s="4">
        <f t="shared" si="15"/>
        <v>39.743429047063188</v>
      </c>
      <c r="M30" s="4" t="str">
        <f t="shared" si="16"/>
        <v>19.87%</v>
      </c>
    </row>
    <row r="31" spans="1:17" x14ac:dyDescent="0.45">
      <c r="A31" s="15">
        <v>2022</v>
      </c>
      <c r="B31" s="26">
        <v>901</v>
      </c>
      <c r="C31" s="29" t="s">
        <v>95</v>
      </c>
      <c r="D31" s="16">
        <v>205064.8</v>
      </c>
      <c r="E31" s="17">
        <v>1304982</v>
      </c>
      <c r="F31" s="26">
        <v>1.3016000000000001</v>
      </c>
      <c r="G31" s="26">
        <f>_xlfn.RANK.AVG(F31,$F$31:$F$74,0)</f>
        <v>4</v>
      </c>
      <c r="H31" s="26">
        <f>10+9*(11-G31)</f>
        <v>73</v>
      </c>
      <c r="I31" s="20" t="s">
        <v>83</v>
      </c>
      <c r="J31" s="4">
        <f t="shared" si="13"/>
        <v>17.734591089376089</v>
      </c>
      <c r="K31" s="4">
        <f t="shared" si="14"/>
        <v>12.723646559028612</v>
      </c>
      <c r="L31" s="4">
        <f t="shared" si="15"/>
        <v>30.458237648404701</v>
      </c>
      <c r="M31" s="4" t="str">
        <f t="shared" si="16"/>
        <v>15.23%</v>
      </c>
    </row>
    <row r="32" spans="1:17" x14ac:dyDescent="0.45">
      <c r="A32" s="15">
        <v>2023</v>
      </c>
      <c r="B32" s="26"/>
      <c r="C32" s="29"/>
      <c r="D32" s="16">
        <v>192623.3</v>
      </c>
      <c r="E32" s="17">
        <v>1111111</v>
      </c>
      <c r="F32" s="26"/>
      <c r="G32" s="26"/>
      <c r="H32" s="26"/>
      <c r="I32" s="20" t="s">
        <v>62</v>
      </c>
      <c r="J32" s="4">
        <f t="shared" si="13"/>
        <v>7.8661022577751147</v>
      </c>
      <c r="K32" s="4">
        <f t="shared" si="14"/>
        <v>15.875182531600894</v>
      </c>
      <c r="L32" s="4">
        <f t="shared" si="15"/>
        <v>23.74128478937601</v>
      </c>
      <c r="M32" s="4" t="str">
        <f t="shared" si="16"/>
        <v>11.87%</v>
      </c>
    </row>
    <row r="33" spans="1:14" x14ac:dyDescent="0.45">
      <c r="A33" s="15">
        <v>2024</v>
      </c>
      <c r="B33" s="26"/>
      <c r="C33" s="29"/>
      <c r="D33" s="16">
        <v>201924.3</v>
      </c>
      <c r="E33" s="17">
        <v>1243042</v>
      </c>
      <c r="F33" s="26"/>
      <c r="G33" s="26"/>
      <c r="H33" s="26"/>
      <c r="I33" s="20" t="s">
        <v>63</v>
      </c>
      <c r="J33" s="4">
        <f t="shared" si="13"/>
        <v>10.262437574754768</v>
      </c>
      <c r="K33" s="4">
        <f t="shared" si="14"/>
        <v>8.8733497851954262</v>
      </c>
      <c r="L33" s="4">
        <f t="shared" si="15"/>
        <v>19.135787359950193</v>
      </c>
      <c r="M33" s="4" t="str">
        <f t="shared" si="16"/>
        <v>9.57%</v>
      </c>
    </row>
    <row r="34" spans="1:14" x14ac:dyDescent="0.45">
      <c r="A34" s="15">
        <v>2025</v>
      </c>
      <c r="B34" s="26"/>
      <c r="C34" s="29"/>
      <c r="D34" s="16">
        <v>201293.9</v>
      </c>
      <c r="E34" s="17">
        <v>1699151</v>
      </c>
      <c r="F34" s="26"/>
      <c r="G34" s="26"/>
      <c r="H34" s="26"/>
      <c r="I34" s="20" t="s">
        <v>84</v>
      </c>
      <c r="J34" s="4">
        <f t="shared" si="13"/>
        <v>3.7913805203726749</v>
      </c>
      <c r="K34" s="4">
        <f t="shared" si="14"/>
        <v>35.788157891509243</v>
      </c>
      <c r="L34" s="4">
        <f t="shared" si="15"/>
        <v>39.57953841188192</v>
      </c>
      <c r="M34" s="4" t="str">
        <f t="shared" si="16"/>
        <v>19.79%</v>
      </c>
    </row>
    <row r="35" spans="1:14" x14ac:dyDescent="0.45">
      <c r="A35" s="15">
        <v>2022</v>
      </c>
      <c r="B35" s="26">
        <v>1704</v>
      </c>
      <c r="C35" s="29" t="s">
        <v>96</v>
      </c>
      <c r="D35" s="16">
        <v>48507</v>
      </c>
      <c r="E35" s="17">
        <v>251670</v>
      </c>
      <c r="F35" s="26">
        <v>1.3531</v>
      </c>
      <c r="G35" s="26">
        <f t="shared" ref="G35:G71" si="17">_xlfn.RANK.AVG(F35,$F$31:$F$74,0)</f>
        <v>3</v>
      </c>
      <c r="H35" s="26">
        <f t="shared" ref="H35:H71" si="18">10+9*(11-G35)</f>
        <v>82</v>
      </c>
      <c r="I35" s="20" t="s">
        <v>85</v>
      </c>
      <c r="J35" s="4">
        <f t="shared" si="13"/>
        <v>94.748947015131534</v>
      </c>
      <c r="K35" s="4">
        <f t="shared" si="14"/>
        <v>45.681562701286808</v>
      </c>
      <c r="L35" s="4">
        <f t="shared" si="15"/>
        <v>140.43050971641833</v>
      </c>
      <c r="M35" s="4" t="str">
        <f t="shared" si="16"/>
        <v>70.22%</v>
      </c>
    </row>
    <row r="36" spans="1:14" x14ac:dyDescent="0.45">
      <c r="A36" s="15">
        <v>2023</v>
      </c>
      <c r="B36" s="26"/>
      <c r="C36" s="29"/>
      <c r="D36" s="16">
        <v>57200.6</v>
      </c>
      <c r="E36" s="17">
        <v>303122</v>
      </c>
      <c r="F36" s="26"/>
      <c r="G36" s="26"/>
      <c r="H36" s="26"/>
    </row>
    <row r="37" spans="1:14" x14ac:dyDescent="0.45">
      <c r="A37" s="15">
        <v>2024</v>
      </c>
      <c r="B37" s="26"/>
      <c r="C37" s="29"/>
      <c r="D37" s="16">
        <v>61370.3</v>
      </c>
      <c r="E37" s="17">
        <v>328156</v>
      </c>
      <c r="F37" s="26"/>
      <c r="G37" s="26"/>
      <c r="H37" s="26"/>
      <c r="I37" s="27" t="s">
        <v>153</v>
      </c>
      <c r="J37" s="27"/>
      <c r="K37" s="27"/>
      <c r="L37" s="28"/>
    </row>
    <row r="38" spans="1:14" x14ac:dyDescent="0.45">
      <c r="A38" s="15">
        <v>2025</v>
      </c>
      <c r="B38" s="26"/>
      <c r="C38" s="29"/>
      <c r="D38" s="16">
        <v>62119.5</v>
      </c>
      <c r="E38" s="17">
        <v>340422</v>
      </c>
      <c r="F38" s="26"/>
      <c r="G38" s="26"/>
      <c r="H38" s="26"/>
      <c r="I38" s="21" t="s">
        <v>150</v>
      </c>
      <c r="J38" s="19" t="s">
        <v>151</v>
      </c>
      <c r="K38" s="19" t="s">
        <v>152</v>
      </c>
      <c r="L38" s="19" t="s">
        <v>159</v>
      </c>
      <c r="M38" s="19" t="s">
        <v>162</v>
      </c>
      <c r="N38" s="25"/>
    </row>
    <row r="39" spans="1:14" x14ac:dyDescent="0.45">
      <c r="A39" s="15">
        <v>2022</v>
      </c>
      <c r="B39" s="26">
        <v>1904</v>
      </c>
      <c r="C39" s="29" t="s">
        <v>97</v>
      </c>
      <c r="D39" s="16">
        <v>16853.900000000001</v>
      </c>
      <c r="E39" s="17">
        <v>55903</v>
      </c>
      <c r="F39" s="26">
        <v>1.4023000000000001</v>
      </c>
      <c r="G39" s="26">
        <f t="shared" si="17"/>
        <v>2</v>
      </c>
      <c r="H39" s="26">
        <f t="shared" si="18"/>
        <v>91</v>
      </c>
      <c r="I39" s="22" t="s">
        <v>155</v>
      </c>
      <c r="J39" s="15" t="s">
        <v>110</v>
      </c>
      <c r="K39" s="15">
        <v>1.4</v>
      </c>
      <c r="L39" s="15">
        <v>2</v>
      </c>
      <c r="M39" s="15">
        <v>0.9</v>
      </c>
    </row>
    <row r="40" spans="1:14" x14ac:dyDescent="0.45">
      <c r="A40" s="15">
        <v>2023</v>
      </c>
      <c r="B40" s="26"/>
      <c r="C40" s="29"/>
      <c r="D40" s="16">
        <v>15296.9</v>
      </c>
      <c r="E40" s="17">
        <v>53321</v>
      </c>
      <c r="F40" s="26"/>
      <c r="G40" s="26"/>
      <c r="H40" s="26"/>
      <c r="I40" s="23" t="s">
        <v>113</v>
      </c>
      <c r="J40" s="15" t="s">
        <v>114</v>
      </c>
      <c r="K40" s="15">
        <v>1.4</v>
      </c>
      <c r="L40" s="15">
        <v>3</v>
      </c>
      <c r="M40" s="15">
        <v>0.85</v>
      </c>
    </row>
    <row r="41" spans="1:14" x14ac:dyDescent="0.45">
      <c r="A41" s="15">
        <v>2024</v>
      </c>
      <c r="B41" s="26"/>
      <c r="C41" s="29"/>
      <c r="D41" s="16">
        <v>20229.5</v>
      </c>
      <c r="E41" s="17">
        <v>68551</v>
      </c>
      <c r="F41" s="26"/>
      <c r="G41" s="26"/>
      <c r="H41" s="26"/>
      <c r="I41" s="23" t="s">
        <v>117</v>
      </c>
      <c r="J41" s="15" t="s">
        <v>118</v>
      </c>
      <c r="K41" s="15">
        <v>1.3</v>
      </c>
      <c r="L41" s="15">
        <v>5</v>
      </c>
      <c r="M41" s="15">
        <v>0.8</v>
      </c>
    </row>
    <row r="42" spans="1:14" x14ac:dyDescent="0.45">
      <c r="A42" s="15">
        <v>2025</v>
      </c>
      <c r="B42" s="26"/>
      <c r="C42" s="29"/>
      <c r="D42" s="16">
        <v>21179.8</v>
      </c>
      <c r="E42" s="17">
        <v>66475</v>
      </c>
      <c r="F42" s="26"/>
      <c r="G42" s="26"/>
      <c r="H42" s="26"/>
      <c r="I42" s="23" t="s">
        <v>120</v>
      </c>
      <c r="J42" s="15" t="s">
        <v>121</v>
      </c>
      <c r="K42" s="15">
        <v>1.1000000000000001</v>
      </c>
      <c r="L42" s="15">
        <v>9</v>
      </c>
      <c r="M42" s="15">
        <v>0.7</v>
      </c>
    </row>
    <row r="43" spans="1:14" x14ac:dyDescent="0.45">
      <c r="A43" s="15">
        <v>2022</v>
      </c>
      <c r="B43" s="26">
        <v>2008</v>
      </c>
      <c r="C43" s="29" t="s">
        <v>98</v>
      </c>
      <c r="D43" s="16">
        <v>222688.8</v>
      </c>
      <c r="E43" s="17">
        <v>453791</v>
      </c>
      <c r="F43" s="26">
        <v>1.0289999999999999</v>
      </c>
      <c r="G43" s="26">
        <f t="shared" si="17"/>
        <v>10</v>
      </c>
      <c r="H43" s="26">
        <f t="shared" si="18"/>
        <v>19</v>
      </c>
      <c r="I43" s="23" t="s">
        <v>124</v>
      </c>
      <c r="J43" s="15" t="s">
        <v>125</v>
      </c>
      <c r="K43" s="7">
        <v>1.2</v>
      </c>
      <c r="L43" s="15">
        <v>6</v>
      </c>
      <c r="M43" s="15">
        <v>0.85</v>
      </c>
    </row>
    <row r="44" spans="1:14" x14ac:dyDescent="0.45">
      <c r="A44" s="15">
        <v>2023</v>
      </c>
      <c r="B44" s="26"/>
      <c r="C44" s="29"/>
      <c r="D44" s="16">
        <v>212488.4</v>
      </c>
      <c r="E44" s="17">
        <v>452376</v>
      </c>
      <c r="F44" s="26"/>
      <c r="G44" s="26"/>
      <c r="H44" s="26"/>
      <c r="I44" s="23" t="s">
        <v>128</v>
      </c>
      <c r="J44" s="15" t="s">
        <v>129</v>
      </c>
      <c r="K44" s="15">
        <v>1.1000000000000001</v>
      </c>
      <c r="L44" s="15">
        <v>10</v>
      </c>
      <c r="M44" s="15">
        <v>0.65</v>
      </c>
    </row>
    <row r="45" spans="1:14" x14ac:dyDescent="0.45">
      <c r="A45" s="15">
        <v>2024</v>
      </c>
      <c r="B45" s="26"/>
      <c r="C45" s="29"/>
      <c r="D45" s="16">
        <v>263578.7</v>
      </c>
      <c r="E45" s="17">
        <v>540614</v>
      </c>
      <c r="F45" s="26"/>
      <c r="G45" s="26"/>
      <c r="H45" s="26"/>
      <c r="I45" s="23" t="s">
        <v>131</v>
      </c>
      <c r="J45" s="15" t="s">
        <v>132</v>
      </c>
      <c r="K45" s="15">
        <v>1.1000000000000001</v>
      </c>
      <c r="L45" s="15">
        <v>11</v>
      </c>
      <c r="M45" s="15">
        <v>0.15</v>
      </c>
    </row>
    <row r="46" spans="1:14" x14ac:dyDescent="0.45">
      <c r="A46" s="15">
        <v>2025</v>
      </c>
      <c r="B46" s="26"/>
      <c r="C46" s="29"/>
      <c r="D46" s="16">
        <v>227291.9</v>
      </c>
      <c r="E46" s="17">
        <v>508279</v>
      </c>
      <c r="F46" s="26"/>
      <c r="G46" s="26"/>
      <c r="H46" s="26"/>
      <c r="I46" s="23" t="s">
        <v>134</v>
      </c>
      <c r="J46" s="15" t="s">
        <v>135</v>
      </c>
      <c r="K46" s="15">
        <v>1.2</v>
      </c>
      <c r="L46" s="15">
        <v>7</v>
      </c>
      <c r="M46" s="15">
        <v>0.8</v>
      </c>
    </row>
    <row r="47" spans="1:14" x14ac:dyDescent="0.45">
      <c r="A47" s="15">
        <v>2022</v>
      </c>
      <c r="B47" s="26">
        <v>3304</v>
      </c>
      <c r="C47" s="29" t="s">
        <v>99</v>
      </c>
      <c r="D47" s="16">
        <v>27379.1</v>
      </c>
      <c r="E47" s="17">
        <v>922679</v>
      </c>
      <c r="F47" s="26">
        <v>1.4577</v>
      </c>
      <c r="G47" s="26">
        <f t="shared" si="17"/>
        <v>1</v>
      </c>
      <c r="H47" s="26">
        <f t="shared" si="18"/>
        <v>100</v>
      </c>
      <c r="I47" s="23" t="s">
        <v>138</v>
      </c>
      <c r="J47" s="15" t="s">
        <v>139</v>
      </c>
      <c r="K47" s="15">
        <v>1.3</v>
      </c>
      <c r="L47" s="15">
        <v>4</v>
      </c>
      <c r="M47" s="15">
        <v>0.3</v>
      </c>
    </row>
    <row r="48" spans="1:14" x14ac:dyDescent="0.45">
      <c r="A48" s="15">
        <v>2023</v>
      </c>
      <c r="B48" s="26"/>
      <c r="C48" s="29"/>
      <c r="D48" s="16">
        <v>25391.599999999999</v>
      </c>
      <c r="E48" s="17">
        <v>934386</v>
      </c>
      <c r="F48" s="26"/>
      <c r="G48" s="26"/>
      <c r="H48" s="26"/>
      <c r="I48" s="23" t="s">
        <v>142</v>
      </c>
      <c r="J48" s="15" t="s">
        <v>143</v>
      </c>
      <c r="K48" s="15">
        <v>1.2</v>
      </c>
      <c r="L48" s="15">
        <v>8</v>
      </c>
      <c r="M48" s="15">
        <v>0.6</v>
      </c>
    </row>
    <row r="49" spans="1:13" x14ac:dyDescent="0.45">
      <c r="A49" s="15">
        <v>2024</v>
      </c>
      <c r="B49" s="26"/>
      <c r="C49" s="29"/>
      <c r="D49" s="16">
        <v>25081.4</v>
      </c>
      <c r="E49" s="17">
        <v>922480</v>
      </c>
      <c r="F49" s="26"/>
      <c r="G49" s="26"/>
      <c r="H49" s="26"/>
      <c r="I49" s="23" t="s">
        <v>146</v>
      </c>
      <c r="J49" s="15" t="s">
        <v>158</v>
      </c>
      <c r="K49" s="15">
        <v>1.5</v>
      </c>
      <c r="L49" s="15">
        <v>1</v>
      </c>
      <c r="M49" s="15">
        <v>0.3</v>
      </c>
    </row>
    <row r="50" spans="1:13" x14ac:dyDescent="0.45">
      <c r="A50" s="15">
        <v>2025</v>
      </c>
      <c r="B50" s="26"/>
      <c r="C50" s="29"/>
      <c r="D50" s="16">
        <v>26988.3</v>
      </c>
      <c r="E50" s="17">
        <v>974587</v>
      </c>
      <c r="F50" s="26"/>
      <c r="G50" s="26"/>
      <c r="H50" s="26"/>
    </row>
    <row r="51" spans="1:13" x14ac:dyDescent="0.45">
      <c r="A51" s="15">
        <v>2022</v>
      </c>
      <c r="B51" s="26">
        <v>4202</v>
      </c>
      <c r="C51" s="29" t="s">
        <v>100</v>
      </c>
      <c r="D51" s="16">
        <v>80856.100000000006</v>
      </c>
      <c r="E51" s="17">
        <v>3845102</v>
      </c>
      <c r="F51" s="26">
        <v>1.2002999999999999</v>
      </c>
      <c r="G51" s="26">
        <f t="shared" si="17"/>
        <v>7</v>
      </c>
      <c r="H51" s="26">
        <f t="shared" si="18"/>
        <v>46</v>
      </c>
      <c r="I51" s="15"/>
      <c r="J51" s="15"/>
      <c r="K51" s="15"/>
    </row>
    <row r="52" spans="1:13" x14ac:dyDescent="0.45">
      <c r="A52" s="15">
        <v>2023</v>
      </c>
      <c r="B52" s="26"/>
      <c r="C52" s="29"/>
      <c r="D52" s="16">
        <v>96341.4</v>
      </c>
      <c r="E52" s="17">
        <v>3726851</v>
      </c>
      <c r="F52" s="26"/>
      <c r="G52" s="26"/>
      <c r="H52" s="26"/>
      <c r="I52" s="15"/>
      <c r="J52" s="15"/>
      <c r="K52" s="15"/>
    </row>
    <row r="53" spans="1:13" x14ac:dyDescent="0.45">
      <c r="A53" s="15">
        <v>2024</v>
      </c>
      <c r="B53" s="26"/>
      <c r="C53" s="29"/>
      <c r="D53" s="16">
        <v>105088.3</v>
      </c>
      <c r="E53" s="17">
        <v>3513816</v>
      </c>
      <c r="F53" s="26"/>
      <c r="G53" s="26"/>
      <c r="H53" s="26"/>
    </row>
    <row r="54" spans="1:13" x14ac:dyDescent="0.45">
      <c r="A54" s="15">
        <v>2025</v>
      </c>
      <c r="B54" s="26"/>
      <c r="C54" s="29"/>
      <c r="D54" s="16">
        <v>100479.2</v>
      </c>
      <c r="E54" s="17">
        <v>3274524</v>
      </c>
      <c r="F54" s="26"/>
      <c r="G54" s="26"/>
      <c r="H54" s="26"/>
    </row>
    <row r="55" spans="1:13" x14ac:dyDescent="0.45">
      <c r="A55" s="15">
        <v>2022</v>
      </c>
      <c r="B55" s="26">
        <v>4407</v>
      </c>
      <c r="C55" s="29" t="s">
        <v>101</v>
      </c>
      <c r="D55" s="16">
        <v>1091151.2</v>
      </c>
      <c r="E55" s="17">
        <v>680001</v>
      </c>
      <c r="F55" s="26">
        <v>0.91190000000000004</v>
      </c>
      <c r="G55" s="26">
        <f t="shared" si="17"/>
        <v>11</v>
      </c>
      <c r="H55" s="26">
        <f t="shared" si="18"/>
        <v>10</v>
      </c>
    </row>
    <row r="56" spans="1:13" x14ac:dyDescent="0.45">
      <c r="A56" s="15">
        <v>2023</v>
      </c>
      <c r="B56" s="26"/>
      <c r="C56" s="29"/>
      <c r="D56" s="16">
        <v>1059437.1000000001</v>
      </c>
      <c r="E56" s="17">
        <v>484286</v>
      </c>
      <c r="F56" s="26"/>
      <c r="G56" s="26"/>
      <c r="H56" s="26"/>
    </row>
    <row r="57" spans="1:13" x14ac:dyDescent="0.45">
      <c r="A57" s="15">
        <v>2024</v>
      </c>
      <c r="B57" s="26"/>
      <c r="C57" s="29"/>
      <c r="D57" s="16">
        <v>1014756</v>
      </c>
      <c r="E57" s="17">
        <v>469792</v>
      </c>
      <c r="F57" s="26"/>
      <c r="G57" s="26"/>
      <c r="H57" s="26"/>
    </row>
    <row r="58" spans="1:13" x14ac:dyDescent="0.45">
      <c r="A58" s="15">
        <v>2025</v>
      </c>
      <c r="B58" s="26"/>
      <c r="C58" s="29"/>
      <c r="D58" s="16">
        <v>883631.6</v>
      </c>
      <c r="E58" s="17">
        <v>408562</v>
      </c>
      <c r="F58" s="26"/>
      <c r="G58" s="26"/>
      <c r="H58" s="26"/>
    </row>
    <row r="59" spans="1:13" x14ac:dyDescent="0.45">
      <c r="A59" s="15">
        <v>2022</v>
      </c>
      <c r="B59" s="26">
        <v>6403</v>
      </c>
      <c r="C59" s="29" t="s">
        <v>102</v>
      </c>
      <c r="D59" s="16">
        <v>34388.300000000003</v>
      </c>
      <c r="E59" s="17">
        <v>1624170</v>
      </c>
      <c r="F59" s="26">
        <v>1.1184000000000001</v>
      </c>
      <c r="G59" s="26">
        <f t="shared" si="17"/>
        <v>8</v>
      </c>
      <c r="H59" s="26">
        <f t="shared" si="18"/>
        <v>37</v>
      </c>
    </row>
    <row r="60" spans="1:13" x14ac:dyDescent="0.45">
      <c r="A60" s="15">
        <v>2023</v>
      </c>
      <c r="B60" s="26"/>
      <c r="C60" s="29"/>
      <c r="D60" s="16">
        <v>34426</v>
      </c>
      <c r="E60" s="17">
        <v>1597483</v>
      </c>
      <c r="F60" s="26"/>
      <c r="G60" s="26"/>
      <c r="H60" s="26"/>
    </row>
    <row r="61" spans="1:13" x14ac:dyDescent="0.45">
      <c r="A61" s="15">
        <v>2024</v>
      </c>
      <c r="B61" s="26"/>
      <c r="C61" s="29"/>
      <c r="D61" s="16">
        <v>34706.5</v>
      </c>
      <c r="E61" s="17">
        <v>1392702</v>
      </c>
      <c r="F61" s="26"/>
      <c r="G61" s="26"/>
      <c r="H61" s="26"/>
    </row>
    <row r="62" spans="1:13" x14ac:dyDescent="0.45">
      <c r="A62" s="15">
        <v>2025</v>
      </c>
      <c r="B62" s="26"/>
      <c r="C62" s="29"/>
      <c r="D62" s="16">
        <v>30893</v>
      </c>
      <c r="E62" s="17">
        <v>1224921</v>
      </c>
      <c r="F62" s="26"/>
      <c r="G62" s="26"/>
      <c r="H62" s="26"/>
    </row>
    <row r="63" spans="1:13" x14ac:dyDescent="0.45">
      <c r="A63" s="15">
        <v>2022</v>
      </c>
      <c r="B63" s="26">
        <v>8471</v>
      </c>
      <c r="C63" s="29" t="s">
        <v>103</v>
      </c>
      <c r="D63" s="16">
        <v>39951.4</v>
      </c>
      <c r="E63" s="17">
        <v>9500684</v>
      </c>
      <c r="F63" s="26">
        <v>1.1107</v>
      </c>
      <c r="G63" s="26">
        <f t="shared" si="17"/>
        <v>9</v>
      </c>
      <c r="H63" s="26">
        <f t="shared" si="18"/>
        <v>28</v>
      </c>
    </row>
    <row r="64" spans="1:13" x14ac:dyDescent="0.45">
      <c r="A64" s="15">
        <v>2023</v>
      </c>
      <c r="B64" s="26"/>
      <c r="C64" s="29"/>
      <c r="D64" s="16">
        <v>31891.4</v>
      </c>
      <c r="E64" s="17">
        <v>7451619</v>
      </c>
      <c r="F64" s="26"/>
      <c r="G64" s="26"/>
      <c r="H64" s="26"/>
    </row>
    <row r="65" spans="1:8" x14ac:dyDescent="0.45">
      <c r="A65" s="15">
        <v>2024</v>
      </c>
      <c r="B65" s="26"/>
      <c r="C65" s="29"/>
      <c r="D65" s="16">
        <v>34782.6</v>
      </c>
      <c r="E65" s="17">
        <v>8393941</v>
      </c>
      <c r="F65" s="26"/>
      <c r="G65" s="26"/>
      <c r="H65" s="26"/>
    </row>
    <row r="66" spans="1:8" x14ac:dyDescent="0.45">
      <c r="A66" s="15">
        <v>2025</v>
      </c>
      <c r="B66" s="26"/>
      <c r="C66" s="29"/>
      <c r="D66" s="16">
        <v>37907.800000000003</v>
      </c>
      <c r="E66" s="17">
        <v>9412516</v>
      </c>
      <c r="F66" s="26"/>
      <c r="G66" s="26"/>
      <c r="H66" s="26"/>
    </row>
    <row r="67" spans="1:8" x14ac:dyDescent="0.45">
      <c r="A67" s="15">
        <v>2022</v>
      </c>
      <c r="B67" s="26">
        <v>8479</v>
      </c>
      <c r="C67" s="29" t="s">
        <v>104</v>
      </c>
      <c r="D67" s="16">
        <v>64657.7</v>
      </c>
      <c r="E67" s="17">
        <v>2286311</v>
      </c>
      <c r="F67" s="26">
        <v>1.23</v>
      </c>
      <c r="G67" s="26">
        <f t="shared" si="17"/>
        <v>5</v>
      </c>
      <c r="H67" s="26">
        <f t="shared" si="18"/>
        <v>64</v>
      </c>
    </row>
    <row r="68" spans="1:8" x14ac:dyDescent="0.45">
      <c r="A68" s="15">
        <v>2023</v>
      </c>
      <c r="B68" s="26"/>
      <c r="C68" s="29"/>
      <c r="D68" s="16">
        <v>66888.600000000006</v>
      </c>
      <c r="E68" s="17">
        <v>2249792</v>
      </c>
      <c r="F68" s="26"/>
      <c r="G68" s="26"/>
      <c r="H68" s="26"/>
    </row>
    <row r="69" spans="1:8" x14ac:dyDescent="0.45">
      <c r="A69" s="15">
        <v>2024</v>
      </c>
      <c r="B69" s="26"/>
      <c r="C69" s="29"/>
      <c r="D69" s="16">
        <v>80267.199999999997</v>
      </c>
      <c r="E69" s="17">
        <v>2145773</v>
      </c>
      <c r="F69" s="26"/>
      <c r="G69" s="26"/>
      <c r="H69" s="26"/>
    </row>
    <row r="70" spans="1:8" x14ac:dyDescent="0.45">
      <c r="A70" s="15">
        <v>2025</v>
      </c>
      <c r="B70" s="26"/>
      <c r="C70" s="29"/>
      <c r="D70" s="16">
        <v>78278.3</v>
      </c>
      <c r="E70" s="17">
        <v>2262945</v>
      </c>
      <c r="F70" s="26"/>
      <c r="G70" s="26"/>
      <c r="H70" s="26"/>
    </row>
    <row r="71" spans="1:8" x14ac:dyDescent="0.45">
      <c r="A71" s="15">
        <v>2022</v>
      </c>
      <c r="B71" s="26">
        <v>8509</v>
      </c>
      <c r="C71" s="29" t="s">
        <v>105</v>
      </c>
      <c r="D71" s="16">
        <v>24015.7</v>
      </c>
      <c r="E71" s="17">
        <v>378433</v>
      </c>
      <c r="F71" s="26">
        <v>1.2279</v>
      </c>
      <c r="G71" s="26">
        <f t="shared" si="17"/>
        <v>6</v>
      </c>
      <c r="H71" s="26">
        <f t="shared" si="18"/>
        <v>55</v>
      </c>
    </row>
    <row r="72" spans="1:8" x14ac:dyDescent="0.45">
      <c r="A72" s="15">
        <v>2023</v>
      </c>
      <c r="B72" s="26"/>
      <c r="C72" s="29"/>
      <c r="D72" s="16">
        <v>27677.599999999999</v>
      </c>
      <c r="E72" s="17">
        <v>383611</v>
      </c>
      <c r="F72" s="26"/>
      <c r="G72" s="26"/>
      <c r="H72" s="26"/>
    </row>
    <row r="73" spans="1:8" x14ac:dyDescent="0.45">
      <c r="A73" s="15">
        <v>2024</v>
      </c>
      <c r="B73" s="26"/>
      <c r="C73" s="29"/>
      <c r="D73" s="16">
        <v>36933.800000000003</v>
      </c>
      <c r="E73" s="17">
        <v>461750</v>
      </c>
      <c r="F73" s="26"/>
      <c r="G73" s="26"/>
      <c r="H73" s="26"/>
    </row>
    <row r="74" spans="1:8" x14ac:dyDescent="0.45">
      <c r="A74" s="15">
        <v>2025</v>
      </c>
      <c r="B74" s="26"/>
      <c r="C74" s="29"/>
      <c r="D74" s="16">
        <v>36933.800000000003</v>
      </c>
      <c r="E74" s="17">
        <v>444039</v>
      </c>
      <c r="F74" s="26"/>
      <c r="G74" s="26"/>
      <c r="H74" s="26"/>
    </row>
  </sheetData>
  <mergeCells count="61">
    <mergeCell ref="J13:M13"/>
    <mergeCell ref="N13:Q13"/>
    <mergeCell ref="A27:E28"/>
    <mergeCell ref="B31:B34"/>
    <mergeCell ref="C31:C34"/>
    <mergeCell ref="G31:G34"/>
    <mergeCell ref="H31:H34"/>
    <mergeCell ref="F31:F34"/>
    <mergeCell ref="G29:G30"/>
    <mergeCell ref="H29:H30"/>
    <mergeCell ref="B35:B38"/>
    <mergeCell ref="C35:C38"/>
    <mergeCell ref="B39:B42"/>
    <mergeCell ref="C39:C42"/>
    <mergeCell ref="B43:B46"/>
    <mergeCell ref="C43:C46"/>
    <mergeCell ref="B47:B50"/>
    <mergeCell ref="C47:C50"/>
    <mergeCell ref="B51:B54"/>
    <mergeCell ref="C51:C54"/>
    <mergeCell ref="B55:B58"/>
    <mergeCell ref="C55:C58"/>
    <mergeCell ref="B71:B74"/>
    <mergeCell ref="C71:C74"/>
    <mergeCell ref="B59:B62"/>
    <mergeCell ref="C59:C62"/>
    <mergeCell ref="B63:B66"/>
    <mergeCell ref="C63:C66"/>
    <mergeCell ref="B67:B70"/>
    <mergeCell ref="C67:C70"/>
    <mergeCell ref="G71:G74"/>
    <mergeCell ref="G67:G70"/>
    <mergeCell ref="G63:G66"/>
    <mergeCell ref="G59:G62"/>
    <mergeCell ref="G55:G58"/>
    <mergeCell ref="I37:L37"/>
    <mergeCell ref="G51:G54"/>
    <mergeCell ref="G47:G50"/>
    <mergeCell ref="G43:G46"/>
    <mergeCell ref="G39:G42"/>
    <mergeCell ref="G35:G38"/>
    <mergeCell ref="H51:H54"/>
    <mergeCell ref="H47:H50"/>
    <mergeCell ref="H43:H46"/>
    <mergeCell ref="H39:H42"/>
    <mergeCell ref="H35:H38"/>
    <mergeCell ref="H71:H74"/>
    <mergeCell ref="H67:H70"/>
    <mergeCell ref="H63:H66"/>
    <mergeCell ref="H59:H62"/>
    <mergeCell ref="H55:H58"/>
    <mergeCell ref="F71:F74"/>
    <mergeCell ref="F67:F70"/>
    <mergeCell ref="F63:F66"/>
    <mergeCell ref="F59:F62"/>
    <mergeCell ref="F55:F58"/>
    <mergeCell ref="F51:F54"/>
    <mergeCell ref="F47:F50"/>
    <mergeCell ref="F43:F46"/>
    <mergeCell ref="F39:F42"/>
    <mergeCell ref="F35:F38"/>
  </mergeCells>
  <phoneticPr fontId="2" type="noConversion"/>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B13" sqref="B13"/>
    </sheetView>
  </sheetViews>
  <sheetFormatPr defaultRowHeight="17" x14ac:dyDescent="0.45"/>
  <cols>
    <col min="2" max="2" width="90" customWidth="1"/>
  </cols>
  <sheetData>
    <row r="1" spans="1:2" x14ac:dyDescent="0.45">
      <c r="A1" t="s">
        <v>42</v>
      </c>
      <c r="B1" t="s">
        <v>43</v>
      </c>
    </row>
    <row r="2" spans="1:2" x14ac:dyDescent="0.45">
      <c r="A2" t="s">
        <v>44</v>
      </c>
      <c r="B2" t="s">
        <v>45</v>
      </c>
    </row>
    <row r="3" spans="1:2" x14ac:dyDescent="0.45">
      <c r="A3" t="s">
        <v>46</v>
      </c>
      <c r="B3" t="s">
        <v>47</v>
      </c>
    </row>
    <row r="4" spans="1:2" x14ac:dyDescent="0.45">
      <c r="A4" t="s">
        <v>48</v>
      </c>
      <c r="B4" t="s">
        <v>49</v>
      </c>
    </row>
    <row r="5" spans="1:2" x14ac:dyDescent="0.45">
      <c r="A5" t="s">
        <v>50</v>
      </c>
      <c r="B5" t="s">
        <v>51</v>
      </c>
    </row>
    <row r="6" spans="1:2" x14ac:dyDescent="0.45">
      <c r="A6" t="s">
        <v>52</v>
      </c>
      <c r="B6" t="s">
        <v>53</v>
      </c>
    </row>
    <row r="7" spans="1:2" x14ac:dyDescent="0.45">
      <c r="A7" t="s">
        <v>54</v>
      </c>
      <c r="B7" t="s">
        <v>55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F953F-4AB5-42D7-A940-C5A84B8A208D}">
  <dimension ref="A1:E12"/>
  <sheetViews>
    <sheetView zoomScaleNormal="100" workbookViewId="0">
      <selection activeCell="D2" sqref="D2"/>
    </sheetView>
  </sheetViews>
  <sheetFormatPr defaultRowHeight="17" x14ac:dyDescent="0.45"/>
  <cols>
    <col min="2" max="2" width="18.1640625" bestFit="1" customWidth="1"/>
    <col min="3" max="3" width="11.25" bestFit="1" customWidth="1"/>
    <col min="4" max="4" width="69.33203125" bestFit="1" customWidth="1"/>
    <col min="5" max="5" width="48" bestFit="1" customWidth="1"/>
  </cols>
  <sheetData>
    <row r="1" spans="1:5" x14ac:dyDescent="0.45">
      <c r="A1" s="18" t="s">
        <v>89</v>
      </c>
      <c r="B1" s="18" t="s">
        <v>90</v>
      </c>
      <c r="C1" s="18" t="s">
        <v>106</v>
      </c>
      <c r="D1" s="18" t="s">
        <v>107</v>
      </c>
      <c r="E1" s="18" t="s">
        <v>108</v>
      </c>
    </row>
    <row r="2" spans="1:5" x14ac:dyDescent="0.45">
      <c r="A2" t="s">
        <v>109</v>
      </c>
      <c r="B2" t="s">
        <v>110</v>
      </c>
      <c r="C2">
        <v>1.5</v>
      </c>
      <c r="D2" t="s">
        <v>111</v>
      </c>
      <c r="E2" t="s">
        <v>112</v>
      </c>
    </row>
    <row r="3" spans="1:5" x14ac:dyDescent="0.45">
      <c r="A3" t="s">
        <v>113</v>
      </c>
      <c r="B3" t="s">
        <v>114</v>
      </c>
      <c r="C3">
        <v>1.4</v>
      </c>
      <c r="D3" t="s">
        <v>115</v>
      </c>
      <c r="E3" t="s">
        <v>116</v>
      </c>
    </row>
    <row r="4" spans="1:5" x14ac:dyDescent="0.45">
      <c r="A4" t="s">
        <v>117</v>
      </c>
      <c r="B4" t="s">
        <v>118</v>
      </c>
      <c r="C4">
        <v>1.4</v>
      </c>
      <c r="D4" t="s">
        <v>119</v>
      </c>
      <c r="E4" t="s">
        <v>112</v>
      </c>
    </row>
    <row r="5" spans="1:5" x14ac:dyDescent="0.45">
      <c r="A5" t="s">
        <v>120</v>
      </c>
      <c r="B5" t="s">
        <v>121</v>
      </c>
      <c r="C5">
        <v>1.3</v>
      </c>
      <c r="D5" t="s">
        <v>122</v>
      </c>
      <c r="E5" t="s">
        <v>123</v>
      </c>
    </row>
    <row r="6" spans="1:5" x14ac:dyDescent="0.45">
      <c r="A6" t="s">
        <v>124</v>
      </c>
      <c r="B6" t="s">
        <v>125</v>
      </c>
      <c r="C6">
        <v>1.3</v>
      </c>
      <c r="D6" t="s">
        <v>126</v>
      </c>
      <c r="E6" t="s">
        <v>127</v>
      </c>
    </row>
    <row r="7" spans="1:5" x14ac:dyDescent="0.45">
      <c r="A7" t="s">
        <v>128</v>
      </c>
      <c r="B7" t="s">
        <v>129</v>
      </c>
      <c r="C7">
        <v>1.2</v>
      </c>
      <c r="D7" t="s">
        <v>130</v>
      </c>
      <c r="E7" t="s">
        <v>112</v>
      </c>
    </row>
    <row r="8" spans="1:5" x14ac:dyDescent="0.45">
      <c r="A8" t="s">
        <v>131</v>
      </c>
      <c r="B8" t="s">
        <v>132</v>
      </c>
      <c r="C8">
        <v>1.2</v>
      </c>
      <c r="D8" t="s">
        <v>133</v>
      </c>
      <c r="E8" t="s">
        <v>123</v>
      </c>
    </row>
    <row r="9" spans="1:5" x14ac:dyDescent="0.45">
      <c r="A9" t="s">
        <v>134</v>
      </c>
      <c r="B9" t="s">
        <v>135</v>
      </c>
      <c r="C9">
        <v>1.1000000000000001</v>
      </c>
      <c r="D9" t="s">
        <v>136</v>
      </c>
      <c r="E9" t="s">
        <v>137</v>
      </c>
    </row>
    <row r="10" spans="1:5" x14ac:dyDescent="0.45">
      <c r="A10" t="s">
        <v>138</v>
      </c>
      <c r="B10" t="s">
        <v>139</v>
      </c>
      <c r="C10">
        <v>1.1000000000000001</v>
      </c>
      <c r="D10" t="s">
        <v>140</v>
      </c>
      <c r="E10" t="s">
        <v>141</v>
      </c>
    </row>
    <row r="11" spans="1:5" x14ac:dyDescent="0.45">
      <c r="A11" t="s">
        <v>142</v>
      </c>
      <c r="B11" t="s">
        <v>143</v>
      </c>
      <c r="C11">
        <v>1.2</v>
      </c>
      <c r="D11" t="s">
        <v>144</v>
      </c>
      <c r="E11" t="s">
        <v>145</v>
      </c>
    </row>
    <row r="12" spans="1:5" x14ac:dyDescent="0.45">
      <c r="A12" t="s">
        <v>146</v>
      </c>
      <c r="B12" t="s">
        <v>147</v>
      </c>
      <c r="C12">
        <v>1.3</v>
      </c>
      <c r="D12" t="s">
        <v>148</v>
      </c>
      <c r="E12" t="s">
        <v>149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국가별_분기별_통계_통합</vt:lpstr>
      <vt:lpstr>자료 출처 및 근거</vt:lpstr>
      <vt:lpstr>품목가중치근거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남석민/독어독문학과</cp:lastModifiedBy>
  <dcterms:created xsi:type="dcterms:W3CDTF">2026-04-27T06:11:20Z</dcterms:created>
  <dcterms:modified xsi:type="dcterms:W3CDTF">2026-06-19T14:11:21Z</dcterms:modified>
</cp:coreProperties>
</file>